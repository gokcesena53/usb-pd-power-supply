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" sheetId="1" state="visible" r:id="rId1"/>
    <sheet name="BOM" sheetId="2" state="visible" r:id="rId2"/>
    <sheet name="Komponentler" sheetId="3" state="visible" r:id="rId3"/>
    <sheet name="Parametreler" sheetId="4" state="visible" r:id="rId4"/>
    <sheet name="Eksikler" sheetId="5" state="visible" r:id="rId5"/>
  </sheets>
  <definedNames>
    <definedName name="_xlnm._FilterDatabase" localSheetId="1" hidden="1">'BOM'!$A$1:$S$83</definedName>
    <definedName name="_xlnm._FilterDatabase" localSheetId="2" hidden="1">'Komponentler'!$A$1:$K$135</definedName>
    <definedName name="_xlnm._FilterDatabase" localSheetId="3" hidden="1">'Parametreler'!$A$1:$F$501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GOPO — REV_C Malzeme Listesi (BOM)</t>
        </is>
      </c>
    </row>
    <row r="3">
      <c r="A3" s="2" t="inlineStr">
        <is>
          <t>Kaynak</t>
        </is>
      </c>
      <c r="B3" s="3" t="inlineStr">
        <is>
          <t>hardware/*.kicad_sch (usb_c_input, usb_pd_controller, mcu, userinterface)</t>
        </is>
      </c>
    </row>
    <row r="4">
      <c r="A4" s="2" t="inlineStr">
        <is>
          <t>Şema revizyonu</t>
        </is>
      </c>
      <c r="B4" s="3" t="inlineStr">
        <is>
          <t>rev_c dalı, commit 82ec479</t>
        </is>
      </c>
    </row>
    <row r="5">
      <c r="A5" s="2" t="inlineStr">
        <is>
          <t>Alan standardı</t>
        </is>
      </c>
      <c r="B5" s="3" t="inlineStr">
        <is>
          <t>design_decisions/standards/komponent-field-standardi.csv</t>
        </is>
      </c>
    </row>
    <row r="6">
      <c r="A6" s="2" t="inlineStr">
        <is>
          <t>Üretim tarihi</t>
        </is>
      </c>
      <c r="B6" s="3" t="inlineStr">
        <is>
          <t>2026-09-18</t>
        </is>
      </c>
    </row>
    <row r="8">
      <c r="A8" s="2" t="inlineStr">
        <is>
          <t>GRUPLAMA KURALI</t>
        </is>
      </c>
    </row>
    <row r="9">
      <c r="A9" s="2" t="inlineStr">
        <is>
          <t>Anahtar</t>
        </is>
      </c>
      <c r="B9" s="3" t="inlineStr">
        <is>
          <t>Standardın GroupBy='Evet' alanları: Value, Footprint, Manufacturer, MPN, Package + komponentin grubuna özel alanlar</t>
        </is>
      </c>
    </row>
    <row r="10">
      <c r="A10" s="2" t="inlineStr">
        <is>
          <t>Neden yalnız Value değil</t>
        </is>
      </c>
      <c r="B10" s="3" t="inlineStr">
        <is>
          <t>'22u' hem C5/C20/C21 kondansatörlerinin hem de L1 bobininin değeri; '2u2' hem C3 hem L2. Yalnız Value ile gruplamak bunları tek satıra koyardı. Aynı şekilde 10u/47u kondansatörler 0402 ve 1210 ayağında ayrı satır olmalıdır.</t>
        </is>
      </c>
    </row>
    <row r="11">
      <c r="A11" s="2" t="inlineStr">
        <is>
          <t>Aynı değer, ayrı satır</t>
        </is>
      </c>
      <c r="B11" s="3" t="inlineStr">
        <is>
          <t>Aynı Value ve ayağa sahip parçalar parametreleri farklıysa ayrı satırdır. 3 yerde fark gerçektir (100k dirençler %0.1 ve %1 toleransta; 100n kondansatörler 16V ve 50V; 47u/1210 kondansatörler 10V ve 50V). 4 yerde ise bir taraf TBD olduğu için ayrılmıştır (10k, 10u/1210, 1u0, 22u/0402): TBD alanları doldurulunca bu satırlar birleşebilir. TBD bir parçayı spesifikasyonu belli olanla birleştirmek, ona sessizce o spesifikasyonu atamak olurdu; bu yüzden ayrı bırakıldı.</t>
        </is>
      </c>
    </row>
    <row r="13">
      <c r="A13" s="2" t="inlineStr">
        <is>
          <t>SAYFALAR</t>
        </is>
      </c>
    </row>
    <row r="14">
      <c r="A14" s="2" t="inlineStr">
        <is>
          <t>BOM</t>
        </is>
      </c>
      <c r="B14" s="3" t="inlineStr">
        <is>
          <t>Sipariş satırları. Adet ve Durum sütunları formüldür.</t>
        </is>
      </c>
    </row>
    <row r="15">
      <c r="A15" s="2" t="inlineStr">
        <is>
          <t>Komponentler</t>
        </is>
      </c>
      <c r="B15" s="3" t="inlineStr">
        <is>
          <t>Referans başına düz liste; hangi referans hangi BOM satırında.</t>
        </is>
      </c>
    </row>
    <row r="16">
      <c r="A16" s="2" t="inlineStr">
        <is>
          <t>Parametreler</t>
        </is>
      </c>
      <c r="B16" s="3" t="inlineStr">
        <is>
          <t>BOM satırı başına gruba özel elektriksel alanlar (uzun biçim).</t>
        </is>
      </c>
    </row>
    <row r="17">
      <c r="A17" s="2" t="inlineStr">
        <is>
          <t>Eksikler</t>
        </is>
      </c>
      <c r="B17" s="3" t="inlineStr">
        <is>
          <t>Hangi alan kaç satırda TBD — satın alma öncesi kapatılacak liste.</t>
        </is>
      </c>
    </row>
    <row r="19">
      <c r="A19" s="2" t="inlineStr">
        <is>
          <t>OKUMA NOTLARI</t>
        </is>
      </c>
    </row>
    <row r="20">
      <c r="A20" s="2" t="inlineStr">
        <is>
          <t>TBD</t>
        </is>
      </c>
      <c r="B20" s="3" t="inlineStr">
        <is>
          <t>Değeri henüz belirlenmemiş alan. Sarı dolgulu hücreler doldurulacaktır. Şemada da TBD yazar; uydurma veri girilmedi.</t>
        </is>
      </c>
    </row>
    <row r="21">
      <c r="A21" s="2" t="inlineStr">
        <is>
          <t>DNP</t>
        </is>
      </c>
      <c r="B21" s="3" t="inlineStr">
        <is>
          <t>Do Not Populate — dizilmeyecek parça. Adet sütununa dahildir, sipariş miktarına dahil DEĞİLDİR.</t>
        </is>
      </c>
    </row>
    <row r="22">
      <c r="A22" s="2" t="inlineStr">
        <is>
          <t>Satın alınmayanlar</t>
        </is>
      </c>
      <c r="B22" s="3" t="inlineStr">
        <is>
          <t>TP1..TP13 test pedleri kart üzerinde açılan pedlerdir. J5/J6 panel montajlı jaklardır, kartta yalnız mekanik ayak vardır.</t>
        </is>
      </c>
    </row>
    <row r="24">
      <c r="A24" s="2" t="inlineStr">
        <is>
          <t>ÇÖZÜLMESİ GEREKEN TUTARSIZLIKLAR</t>
        </is>
      </c>
    </row>
    <row r="25">
      <c r="A25" s="2" t="inlineStr">
        <is>
          <t>SW3</t>
        </is>
      </c>
      <c r="B25" s="3" t="inlineStr">
        <is>
          <t>BOM_PRELIMINARY_20260911 bu referans için L-KLS4-EC12-012424-W yazıyor; şema sembolü ve ayağı EC1121S-E5A-F12.5. Satın alma öncesi tek parçada birleştirilmeli.</t>
        </is>
      </c>
    </row>
    <row r="26">
      <c r="A26" s="2" t="inlineStr">
        <is>
          <t>U10</t>
        </is>
      </c>
      <c r="B26" s="3" t="inlineStr">
        <is>
          <t>Parça TPD4EUSB30 ama Datasheet bağlantısı TPD2EUSB30A gösteriyor.</t>
        </is>
      </c>
    </row>
    <row r="27">
      <c r="A27" s="2" t="inlineStr">
        <is>
          <t>D3 / D7</t>
        </is>
      </c>
      <c r="B27" s="3" t="inlineStr">
        <is>
          <t>Parça SMBJ30A ama Datasheet bağlantısı SMAJ serisini gösteriyor.</t>
        </is>
      </c>
    </row>
    <row r="28">
      <c r="A28" s="2" t="inlineStr">
        <is>
          <t>J3</t>
        </is>
      </c>
      <c r="B28" s="3" t="inlineStr">
        <is>
          <t>Value ekran modülünün adı (NHD-2.4-240320AF-CSXP); MPN ise kart üstündeki Molex 54132-4062 konnektörü. Ekran modülü ayrı sipariş kalemidir.</t>
        </is>
      </c>
    </row>
    <row r="29">
      <c r="A29" s="2" t="inlineStr">
        <is>
          <t>R11 / RShunt1</t>
        </is>
      </c>
      <c r="B29" s="3" t="inlineStr">
        <is>
          <t>İkisi de 5m0 şönt ama farklı netlerde: R11 VBUS ölçümü, RShunt1 INA228 çıkış ölçümü. Referans öneki RShunt1 standart dışıdır.</t>
        </is>
      </c>
    </row>
    <row r="30">
      <c r="A30" s="2" t="inlineStr">
        <is>
          <t>SW1 / SW2</t>
        </is>
      </c>
      <c r="B30" s="3" t="inlineStr">
        <is>
          <t>Aynı parça (C&amp;K PTS810 SJS 250 SMTR LFS) ama Value alanları 'BOOT / PTS810' ve 'RESET / PTS810' olduğu için BOM'da İKİ SATIR. Standarda göre Value ürün adı olmalı, işlev DesignNote alanına yazılmalı (zaten yazılı). Value şemada PTS810 olarak düzeltilirse bu iki satır tek sipariş kalemine iner.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14" customWidth="1" min="4" max="4"/>
    <col width="30" customWidth="1" min="5" max="5"/>
    <col width="22" customWidth="1" min="6" max="6"/>
    <col width="34" customWidth="1" min="7" max="7"/>
    <col width="22" customWidth="1" min="8" max="8"/>
    <col width="26" customWidth="1" min="9" max="9"/>
    <col width="24" customWidth="1" min="10" max="10"/>
    <col width="30" customWidth="1" min="11" max="11"/>
    <col width="14" customWidth="1" min="12" max="12"/>
    <col width="10" customWidth="1" min="13" max="13"/>
    <col width="7" customWidth="1" min="14" max="14"/>
    <col width="6" customWidth="1" min="15" max="15"/>
    <col width="22" customWidth="1" min="16" max="16"/>
    <col width="14" customWidth="1" min="17" max="17"/>
    <col width="34" customWidth="1" min="18" max="18"/>
    <col width="50" customWidth="1" min="19" max="19"/>
  </cols>
  <sheetData>
    <row r="1" ht="30" customHeight="1">
      <c r="A1" s="4" t="inlineStr">
        <is>
          <t>#</t>
        </is>
      </c>
      <c r="B1" s="4" t="inlineStr">
        <is>
          <t>Adet</t>
        </is>
      </c>
      <c r="C1" s="4" t="inlineStr">
        <is>
          <t>Referanslar</t>
        </is>
      </c>
      <c r="D1" s="4" t="inlineStr">
        <is>
          <t>Value</t>
        </is>
      </c>
      <c r="E1" s="4" t="inlineStr">
        <is>
          <t>Açıklama</t>
        </is>
      </c>
      <c r="F1" s="4" t="inlineStr">
        <is>
          <t>Package</t>
        </is>
      </c>
      <c r="G1" s="4" t="inlineStr">
        <is>
          <t>Footprint</t>
        </is>
      </c>
      <c r="H1" s="4" t="inlineStr">
        <is>
          <t>Üretici</t>
        </is>
      </c>
      <c r="I1" s="4" t="inlineStr">
        <is>
          <t>MPN</t>
        </is>
      </c>
      <c r="J1" s="4" t="inlineStr">
        <is>
          <t>Kategori</t>
        </is>
      </c>
      <c r="K1" s="4" t="inlineStr">
        <is>
          <t>Alt Kategori</t>
        </is>
      </c>
      <c r="L1" s="4" t="inlineStr">
        <is>
          <t>Montaj</t>
        </is>
      </c>
      <c r="M1" s="4" t="inlineStr">
        <is>
          <t>Lifecycle</t>
        </is>
      </c>
      <c r="N1" s="4" t="inlineStr">
        <is>
          <t>RoHS</t>
        </is>
      </c>
      <c r="O1" s="4" t="inlineStr">
        <is>
          <t>DNP</t>
        </is>
      </c>
      <c r="P1" s="4" t="inlineStr">
        <is>
          <t>Sayfalar</t>
        </is>
      </c>
      <c r="Q1" s="4" t="inlineStr">
        <is>
          <t>Durum</t>
        </is>
      </c>
      <c r="R1" s="4" t="inlineStr">
        <is>
          <t>Datasheet</t>
        </is>
      </c>
      <c r="S1" s="4" t="inlineStr">
        <is>
          <t>Tasarım Notu</t>
        </is>
      </c>
    </row>
    <row r="2">
      <c r="A2" s="5" t="n">
        <v>1</v>
      </c>
      <c r="B2" s="5">
        <f>IF(C2="",0,LEN(C2)-LEN(SUBSTITUTE(C2,",",""))+1)</f>
        <v/>
      </c>
      <c r="C2" s="6" t="inlineStr">
        <is>
          <t>U5</t>
        </is>
      </c>
      <c r="D2" s="5" t="inlineStr">
        <is>
          <t>AOZ1284PI</t>
        </is>
      </c>
      <c r="E2" s="6" t="inlineStr">
        <is>
          <t>4A Buck Regulator, 3-36V input, 0.8-30V output, 0.2 - 2MHz, SOIC-8</t>
        </is>
      </c>
      <c r="F2" s="5" t="inlineStr">
        <is>
          <t>SOIC-8-EP</t>
        </is>
      </c>
      <c r="G2" s="5" t="inlineStr">
        <is>
          <t>Package_SO:SOIC-8-1EP_3.9x4.9mm_P1.27mm_EP2.71x3.7mm</t>
        </is>
      </c>
      <c r="H2" s="5" t="inlineStr">
        <is>
          <t>Alpha &amp; Omega Semiconductor</t>
        </is>
      </c>
      <c r="I2" s="5" t="inlineStr">
        <is>
          <t>AOZ1284PI</t>
        </is>
      </c>
      <c r="J2" s="5" t="inlineStr">
        <is>
          <t>Integrated Circuits</t>
        </is>
      </c>
      <c r="K2" s="5" t="inlineStr">
        <is>
          <t>PMIC - Voltage Regulators - DC DC Switching</t>
        </is>
      </c>
      <c r="L2" s="5" t="inlineStr">
        <is>
          <t>Surface Mount</t>
        </is>
      </c>
      <c r="M2" s="7" t="inlineStr">
        <is>
          <t>TBD</t>
        </is>
      </c>
      <c r="N2" s="7" t="inlineStr">
        <is>
          <t>TBD</t>
        </is>
      </c>
      <c r="O2" s="5" t="inlineStr"/>
      <c r="P2" s="5" t="inlineStr">
        <is>
          <t>USB_PD_CONTROLLER</t>
        </is>
      </c>
      <c r="Q2" s="5">
        <f>IF(O2="EVET","DNP",IF(I2="N/A","SATIN ALINMAZ",IF(I2="TBD","MPN GEREKLİ","SEÇİLDİ")))</f>
        <v/>
      </c>
      <c r="R2" s="5" t="inlineStr">
        <is>
          <t>https://www.aosmd.com/res/datasheets/AOZ1284PI.pdf</t>
        </is>
      </c>
      <c r="S2" s="6" t="inlineStr">
        <is>
          <t>Tedarik: Ozdisan.</t>
        </is>
      </c>
    </row>
    <row r="3">
      <c r="A3" s="5" t="n">
        <v>2</v>
      </c>
      <c r="B3" s="5">
        <f>IF(C3="",0,LEN(C3)-LEN(SUBSTITUTE(C3,",",""))+1)</f>
        <v/>
      </c>
      <c r="C3" s="6" t="inlineStr">
        <is>
          <t>U1</t>
        </is>
      </c>
      <c r="D3" s="5" t="inlineStr">
        <is>
          <t>AP33772SDKZ-13-FA02</t>
        </is>
      </c>
      <c r="E3" s="6" t="inlineStr">
        <is>
          <t>USB Type-C PD3.1 Sink Controller, EPR/AVS up to 28V, SPR/AVS up to 21V, I2C interface, WQFN-24</t>
        </is>
      </c>
      <c r="F3" s="5" t="inlineStr">
        <is>
          <t>WQFN-24 (4x4mm)</t>
        </is>
      </c>
      <c r="G3" s="5" t="inlineStr">
        <is>
          <t>Package_DFN_QFN:Texas_RTW_WQFN-24-1EP_4x4mm_P0.5mm_EP2.7x2.7mm</t>
        </is>
      </c>
      <c r="H3" s="5" t="inlineStr">
        <is>
          <t>Diodes Incorporated</t>
        </is>
      </c>
      <c r="I3" s="5" t="inlineStr">
        <is>
          <t>AP33772SDKZ-13-FA02</t>
        </is>
      </c>
      <c r="J3" s="5" t="inlineStr">
        <is>
          <t>Integrated Circuits</t>
        </is>
      </c>
      <c r="K3" s="5" t="inlineStr">
        <is>
          <t>Interface - Specialized (USB PD)</t>
        </is>
      </c>
      <c r="L3" s="5" t="inlineStr">
        <is>
          <t>Surface Mount</t>
        </is>
      </c>
      <c r="M3" s="7" t="inlineStr">
        <is>
          <t>TBD</t>
        </is>
      </c>
      <c r="N3" s="7" t="inlineStr">
        <is>
          <t>TBD</t>
        </is>
      </c>
      <c r="O3" s="5" t="inlineStr"/>
      <c r="P3" s="5" t="inlineStr">
        <is>
          <t>USB_PD_CONTROLLER</t>
        </is>
      </c>
      <c r="Q3" s="5">
        <f>IF(O3="EVET","DNP",IF(I3="N/A","SATIN ALINMAZ",IF(I3="TBD","MPN GEREKLİ","SEÇİLDİ")))</f>
        <v/>
      </c>
      <c r="R3" s="5" t="inlineStr">
        <is>
          <t>https://www.diodes.com/datasheet/download/AP33772S.pdf</t>
        </is>
      </c>
      <c r="S3" s="6" t="inlineStr">
        <is>
          <t>Kesin parca; kapi surusu Q3/Q4 ile dogrulanmali.</t>
        </is>
      </c>
    </row>
    <row r="4">
      <c r="A4" s="5" t="n">
        <v>3</v>
      </c>
      <c r="B4" s="5">
        <f>IF(C4="",0,LEN(C4)-LEN(SUBSTITUTE(C4,",",""))+1)</f>
        <v/>
      </c>
      <c r="C4" s="6" t="inlineStr">
        <is>
          <t>U12</t>
        </is>
      </c>
      <c r="D4" s="5" t="inlineStr">
        <is>
          <t>AP74502Q</t>
        </is>
      </c>
      <c r="E4" s="8" t="inlineStr">
        <is>
          <t>TBD</t>
        </is>
      </c>
      <c r="F4" s="5" t="inlineStr">
        <is>
          <t>TSOT-23-8</t>
        </is>
      </c>
      <c r="G4" s="5" t="inlineStr">
        <is>
          <t>Package_TO_SOT_SMD:TSOT-23-8_HandSoldering</t>
        </is>
      </c>
      <c r="H4" s="5" t="inlineStr">
        <is>
          <t>Power_Path_Custom</t>
        </is>
      </c>
      <c r="I4" s="5" t="inlineStr">
        <is>
          <t>AP74502Q</t>
        </is>
      </c>
      <c r="J4" s="5" t="inlineStr">
        <is>
          <t>Integrated Circuits</t>
        </is>
      </c>
      <c r="K4" s="5" t="inlineStr">
        <is>
          <t>PMIC - Power Distribution Switches, Load Drivers</t>
        </is>
      </c>
      <c r="L4" s="5" t="inlineStr">
        <is>
          <t>Surface Mount</t>
        </is>
      </c>
      <c r="M4" s="7" t="inlineStr">
        <is>
          <t>TBD</t>
        </is>
      </c>
      <c r="N4" s="7" t="inlineStr">
        <is>
          <t>TBD</t>
        </is>
      </c>
      <c r="O4" s="5" t="inlineStr"/>
      <c r="P4" s="5" t="inlineStr">
        <is>
          <t>USB_PD_CONTROLLER</t>
        </is>
      </c>
      <c r="Q4" s="5">
        <f>IF(O4="EVET","DNP",IF(I4="N/A","SATIN ALINMAZ",IF(I4="TBD","MPN GEREKLİ","SEÇİLDİ")))</f>
        <v/>
      </c>
      <c r="R4" s="5" t="inlineStr">
        <is>
          <t>~</t>
        </is>
      </c>
      <c r="S4" s="8" t="inlineStr">
        <is>
          <t>TBD</t>
        </is>
      </c>
    </row>
    <row r="5">
      <c r="A5" s="5" t="n">
        <v>4</v>
      </c>
      <c r="B5" s="5">
        <f>IF(C5="",0,LEN(C5)-LEN(SUBSTITUTE(C5,",",""))+1)</f>
        <v/>
      </c>
      <c r="C5" s="6" t="inlineStr">
        <is>
          <t>U8</t>
        </is>
      </c>
      <c r="D5" s="5" t="inlineStr">
        <is>
          <t>CAT4104V-GT3</t>
        </is>
      </c>
      <c r="E5" s="6" t="inlineStr">
        <is>
          <t>Resistor</t>
        </is>
      </c>
      <c r="F5" s="5" t="inlineStr">
        <is>
          <t>SOIC-8</t>
        </is>
      </c>
      <c r="G5" s="5" t="inlineStr">
        <is>
          <t>Package_SO:SOIC-8_3.9x4.9mm_P1.27mm</t>
        </is>
      </c>
      <c r="H5" s="5" t="inlineStr">
        <is>
          <t>onsemi</t>
        </is>
      </c>
      <c r="I5" s="5" t="inlineStr">
        <is>
          <t>CAT4104V-GT3</t>
        </is>
      </c>
      <c r="J5" s="5" t="inlineStr">
        <is>
          <t>Integrated Circuits</t>
        </is>
      </c>
      <c r="K5" s="5" t="inlineStr">
        <is>
          <t>PMIC - LED Drivers</t>
        </is>
      </c>
      <c r="L5" s="5" t="inlineStr">
        <is>
          <t>Surface Mount</t>
        </is>
      </c>
      <c r="M5" s="7" t="inlineStr">
        <is>
          <t>TBD</t>
        </is>
      </c>
      <c r="N5" s="7" t="inlineStr">
        <is>
          <t>TBD</t>
        </is>
      </c>
      <c r="O5" s="5" t="inlineStr"/>
      <c r="P5" s="5" t="inlineStr">
        <is>
          <t>USER INTERFACE</t>
        </is>
      </c>
      <c r="Q5" s="5">
        <f>IF(O5="EVET","DNP",IF(I5="N/A","SATIN ALINMAZ",IF(I5="TBD","MPN GEREKLİ","SEÇİLDİ")))</f>
        <v/>
      </c>
      <c r="R5" s="5" t="inlineStr">
        <is>
          <t>https://www.onsemi.com/download/data-sheet/pdf/cat4104-d.pdf</t>
        </is>
      </c>
      <c r="S5" s="8" t="inlineStr">
        <is>
          <t>TBD</t>
        </is>
      </c>
    </row>
    <row r="6">
      <c r="A6" s="5" t="n">
        <v>5</v>
      </c>
      <c r="B6" s="5">
        <f>IF(C6="",0,LEN(C6)-LEN(SUBSTITUTE(C6,",",""))+1)</f>
        <v/>
      </c>
      <c r="C6" s="6" t="inlineStr">
        <is>
          <t>U2</t>
        </is>
      </c>
      <c r="D6" s="5" t="inlineStr">
        <is>
          <t>ESP32-C6-WROOM-1</t>
        </is>
      </c>
      <c r="E6" s="6" t="inlineStr">
        <is>
          <t>ESP32-C6-WROOM-1/U is a module that supports 2.4 GHz Wi-Fi 6 (802.11 ax), Bluetooth® 5 (LE), Zigbee and Thread (802.15.4)</t>
        </is>
      </c>
      <c r="F6" s="5" t="inlineStr">
        <is>
          <t>WROOM-1 Module (18x25.5mm)</t>
        </is>
      </c>
      <c r="G6" s="5" t="inlineStr">
        <is>
          <t>PCM_Espressif:ESP32-C6-WROOM-1</t>
        </is>
      </c>
      <c r="H6" s="5" t="inlineStr">
        <is>
          <t>Espressif Systems</t>
        </is>
      </c>
      <c r="I6" s="5" t="inlineStr">
        <is>
          <t>ESP32-C6-WROOM-1</t>
        </is>
      </c>
      <c r="J6" s="5" t="inlineStr">
        <is>
          <t>Integrated Circuits</t>
        </is>
      </c>
      <c r="K6" s="5" t="inlineStr">
        <is>
          <t>Embedded - Microcontrollers / RF Modules</t>
        </is>
      </c>
      <c r="L6" s="5" t="inlineStr">
        <is>
          <t>Surface Mount</t>
        </is>
      </c>
      <c r="M6" s="7" t="inlineStr">
        <is>
          <t>TBD</t>
        </is>
      </c>
      <c r="N6" s="7" t="inlineStr">
        <is>
          <t>TBD</t>
        </is>
      </c>
      <c r="O6" s="5" t="inlineStr"/>
      <c r="P6" s="5" t="inlineStr">
        <is>
          <t>MCU</t>
        </is>
      </c>
      <c r="Q6" s="5">
        <f>IF(O6="EVET","DNP",IF(I6="N/A","SATIN ALINMAZ",IF(I6="TBD","MPN GEREKLİ","SEÇİLDİ")))</f>
        <v/>
      </c>
      <c r="R6" s="5" t="inlineStr">
        <is>
          <t>https://www.espressif.com/sites/default/files/documentation/esp32-c6-wroom-1_wroom-1u_datasheet_en.pdf</t>
        </is>
      </c>
      <c r="S6" s="6" t="inlineStr">
        <is>
          <t>Modul varyanti / flash kapasitesi satin alma oncesi sabitlenmeli.</t>
        </is>
      </c>
    </row>
    <row r="7">
      <c r="A7" s="5" t="n">
        <v>6</v>
      </c>
      <c r="B7" s="5">
        <f>IF(C7="",0,LEN(C7)-LEN(SUBSTITUTE(C7,",",""))+1)</f>
        <v/>
      </c>
      <c r="C7" s="6" t="inlineStr">
        <is>
          <t>U3</t>
        </is>
      </c>
      <c r="D7" s="5" t="inlineStr">
        <is>
          <t>INA228</t>
        </is>
      </c>
      <c r="E7" s="6" t="inlineStr">
        <is>
          <t>High-Side or Low-Side Measurement, Bi-Directional Current and Power Monitor (0-85V) with I2C, SMBus-, and PMBus-Compatible Interface, TSSOP-10 (Texas DGS0010A / VSSOP)</t>
        </is>
      </c>
      <c r="F7" s="5" t="inlineStr">
        <is>
          <t>VSSOP-10 (DGS)</t>
        </is>
      </c>
      <c r="G7" s="5" t="inlineStr">
        <is>
          <t>Package_SO:TSSOP-10_3x3mm_P0.5mm</t>
        </is>
      </c>
      <c r="H7" s="5" t="inlineStr">
        <is>
          <t>Texas Instruments</t>
        </is>
      </c>
      <c r="I7" s="5" t="inlineStr">
        <is>
          <t>INA228AIDGSR</t>
        </is>
      </c>
      <c r="J7" s="5" t="inlineStr">
        <is>
          <t>Integrated Circuits</t>
        </is>
      </c>
      <c r="K7" s="5" t="inlineStr">
        <is>
          <t>Linear - Amplifiers / Data Acquisition</t>
        </is>
      </c>
      <c r="L7" s="5" t="inlineStr">
        <is>
          <t>Surface Mount</t>
        </is>
      </c>
      <c r="M7" s="7" t="inlineStr">
        <is>
          <t>TBD</t>
        </is>
      </c>
      <c r="N7" s="7" t="inlineStr">
        <is>
          <t>TBD</t>
        </is>
      </c>
      <c r="O7" s="5" t="inlineStr"/>
      <c r="P7" s="5" t="inlineStr">
        <is>
          <t>USB_PD_CONTROLLER</t>
        </is>
      </c>
      <c r="Q7" s="5">
        <f>IF(O7="EVET","DNP",IF(I7="N/A","SATIN ALINMAZ",IF(I7="TBD","MPN GEREKLİ","SEÇİLDİ")))</f>
        <v/>
      </c>
      <c r="R7" s="5" t="inlineStr">
        <is>
          <t>https://www.ti.com/lit/ds/symlink/ina228.pdf</t>
        </is>
      </c>
      <c r="S7" s="6" t="inlineStr">
        <is>
          <t>Siparis suffix'i ve sicaklik sinifi secilmeli.</t>
        </is>
      </c>
    </row>
    <row r="8">
      <c r="A8" s="5" t="n">
        <v>7</v>
      </c>
      <c r="B8" s="5">
        <f>IF(C8="",0,LEN(C8)-LEN(SUBSTITUTE(C8,",",""))+1)</f>
        <v/>
      </c>
      <c r="C8" s="6" t="inlineStr">
        <is>
          <t>U4</t>
        </is>
      </c>
      <c r="D8" s="5" t="inlineStr">
        <is>
          <t>RV-3028-C7</t>
        </is>
      </c>
      <c r="E8" s="6" t="inlineStr">
        <is>
          <t>Realtime Clock/Calendar I2C Interface, Extreme Low Power, 1.1 V to 5.5 V, MicroCrystal C7</t>
        </is>
      </c>
      <c r="F8" s="5" t="inlineStr">
        <is>
          <t>C7 SON-8 (1.5x3.2mm)</t>
        </is>
      </c>
      <c r="G8" s="5" t="inlineStr">
        <is>
          <t>Package_SON:MicroCrystal_C7_SON-8_1.5x3.2mm_P0.9mm</t>
        </is>
      </c>
      <c r="H8" s="5" t="inlineStr">
        <is>
          <t>Micro Crystal</t>
        </is>
      </c>
      <c r="I8" s="5" t="inlineStr">
        <is>
          <t>RV-3028-C7</t>
        </is>
      </c>
      <c r="J8" s="5" t="inlineStr">
        <is>
          <t>Integrated Circuits</t>
        </is>
      </c>
      <c r="K8" s="5" t="inlineStr">
        <is>
          <t>Logic / Memory / Clock-Timing</t>
        </is>
      </c>
      <c r="L8" s="5" t="inlineStr">
        <is>
          <t>Surface Mount</t>
        </is>
      </c>
      <c r="M8" s="7" t="inlineStr">
        <is>
          <t>TBD</t>
        </is>
      </c>
      <c r="N8" s="7" t="inlineStr">
        <is>
          <t>TBD</t>
        </is>
      </c>
      <c r="O8" s="5" t="inlineStr"/>
      <c r="P8" s="5" t="inlineStr">
        <is>
          <t>MCU</t>
        </is>
      </c>
      <c r="Q8" s="5">
        <f>IF(O8="EVET","DNP",IF(I8="N/A","SATIN ALINMAZ",IF(I8="TBD","MPN GEREKLİ","SEÇİLDİ")))</f>
        <v/>
      </c>
      <c r="R8" s="5" t="inlineStr">
        <is>
          <t>https://www.microcrystal.com/fileadmin/Media/Products/RTC/Datasheet/RV-3028-C7.pdf</t>
        </is>
      </c>
      <c r="S8" s="6" t="inlineStr">
        <is>
          <t>Trickle charge kapali kullanilacak.</t>
        </is>
      </c>
    </row>
    <row r="9">
      <c r="A9" s="5" t="n">
        <v>8</v>
      </c>
      <c r="B9" s="5">
        <f>IF(C9="",0,LEN(C9)-LEN(SUBSTITUTE(C9,",",""))+1)</f>
        <v/>
      </c>
      <c r="C9" s="6" t="inlineStr">
        <is>
          <t>U6</t>
        </is>
      </c>
      <c r="D9" s="5" t="inlineStr">
        <is>
          <t>TL431BIDBZR</t>
        </is>
      </c>
      <c r="E9" s="8" t="inlineStr">
        <is>
          <t>TBD</t>
        </is>
      </c>
      <c r="F9" s="5" t="inlineStr">
        <is>
          <t>SOT-23</t>
        </is>
      </c>
      <c r="G9" s="5" t="inlineStr">
        <is>
          <t>Package_TO_SOT_SMD:SOT-23</t>
        </is>
      </c>
      <c r="H9" s="5" t="inlineStr">
        <is>
          <t>Texas Instruments</t>
        </is>
      </c>
      <c r="I9" s="5" t="inlineStr">
        <is>
          <t>TL431BIDBZR</t>
        </is>
      </c>
      <c r="J9" s="5" t="inlineStr">
        <is>
          <t>Integrated Circuits</t>
        </is>
      </c>
      <c r="K9" s="5" t="inlineStr">
        <is>
          <t>Linear - Amplifiers / Data Acquisition</t>
        </is>
      </c>
      <c r="L9" s="5" t="inlineStr">
        <is>
          <t>Surface Mount</t>
        </is>
      </c>
      <c r="M9" s="7" t="inlineStr">
        <is>
          <t>TBD</t>
        </is>
      </c>
      <c r="N9" s="7" t="inlineStr">
        <is>
          <t>TBD</t>
        </is>
      </c>
      <c r="O9" s="5" t="inlineStr"/>
      <c r="P9" s="5" t="inlineStr">
        <is>
          <t>USB_PD_CONTROLLER</t>
        </is>
      </c>
      <c r="Q9" s="5">
        <f>IF(O9="EVET","DNP",IF(I9="N/A","SATIN ALINMAZ",IF(I9="TBD","MPN GEREKLİ","SEÇİLDİ")))</f>
        <v/>
      </c>
      <c r="R9" s="7" t="inlineStr">
        <is>
          <t>TBD</t>
        </is>
      </c>
      <c r="S9" s="6" t="inlineStr">
        <is>
          <t>TI TL431 DBZ: K=1, REF=2, A=3. REF, K'ya bagli. Ek kapasitif yuk yok.</t>
        </is>
      </c>
    </row>
    <row r="10">
      <c r="A10" s="5" t="n">
        <v>9</v>
      </c>
      <c r="B10" s="5">
        <f>IF(C10="",0,LEN(C10)-LEN(SUBSTITUTE(C10,",",""))+1)</f>
        <v/>
      </c>
      <c r="C10" s="6" t="inlineStr">
        <is>
          <t>U10</t>
        </is>
      </c>
      <c r="D10" s="5" t="inlineStr">
        <is>
          <t>TPD4EUSB30</t>
        </is>
      </c>
      <c r="E10" s="6" t="inlineStr">
        <is>
          <t>4-Channel ESD Protection for Super-Speed USB 3.0 Interface, USON-10</t>
        </is>
      </c>
      <c r="F10" s="5" t="inlineStr">
        <is>
          <t>USON-10 (2.5x1.0mm)</t>
        </is>
      </c>
      <c r="G10" s="5" t="inlineStr">
        <is>
          <t>Package_SON:USON-10_2.5x1.0mm_P0.5mm</t>
        </is>
      </c>
      <c r="H10" s="5" t="inlineStr">
        <is>
          <t>Texas Instruments</t>
        </is>
      </c>
      <c r="I10" s="5" t="inlineStr">
        <is>
          <t>TPD4EUSB30</t>
        </is>
      </c>
      <c r="J10" s="5" t="inlineStr">
        <is>
          <t>Circuit Protection</t>
        </is>
      </c>
      <c r="K10" s="5" t="inlineStr">
        <is>
          <t>TVS Diodes</t>
        </is>
      </c>
      <c r="L10" s="5" t="inlineStr">
        <is>
          <t>Surface Mount</t>
        </is>
      </c>
      <c r="M10" s="7" t="inlineStr">
        <is>
          <t>TBD</t>
        </is>
      </c>
      <c r="N10" s="7" t="inlineStr">
        <is>
          <t>TBD</t>
        </is>
      </c>
      <c r="O10" s="5" t="inlineStr"/>
      <c r="P10" s="5" t="inlineStr">
        <is>
          <t>USB_C_INPUT</t>
        </is>
      </c>
      <c r="Q10" s="5">
        <f>IF(O10="EVET","DNP",IF(I10="N/A","SATIN ALINMAZ",IF(I10="TBD","MPN GEREKLİ","SEÇİLDİ")))</f>
        <v/>
      </c>
      <c r="R10" s="5" t="inlineStr">
        <is>
          <t>http://www.ti.com/lit/ds/symlink/tpd2eusb30a.pdf</t>
        </is>
      </c>
      <c r="S10" s="6" t="inlineStr">
        <is>
          <t>USB2.0 veri hatti ESD dizisi.</t>
        </is>
      </c>
    </row>
    <row r="11">
      <c r="A11" s="5" t="n">
        <v>10</v>
      </c>
      <c r="B11" s="5">
        <f>IF(C11="",0,LEN(C11)-LEN(SUBSTITUTE(C11,",",""))+1)</f>
        <v/>
      </c>
      <c r="C11" s="6" t="inlineStr">
        <is>
          <t>U11</t>
        </is>
      </c>
      <c r="D11" s="5" t="inlineStr">
        <is>
          <t>TPS55340PWPR</t>
        </is>
      </c>
      <c r="E11" s="8" t="inlineStr">
        <is>
          <t>TBD</t>
        </is>
      </c>
      <c r="F11" s="5" t="inlineStr">
        <is>
          <t>HTSSOP-14 (PWP)</t>
        </is>
      </c>
      <c r="G11" s="5" t="inlineStr">
        <is>
          <t>Package_SO:Texas_HTSSOP-14-1EP_4.4x5mm_P0.65mm_EP3.4x5mm_Mask3.155x3.255mm_ThermalVias</t>
        </is>
      </c>
      <c r="H11" s="5" t="inlineStr">
        <is>
          <t>Texas Instruments</t>
        </is>
      </c>
      <c r="I11" s="5" t="inlineStr">
        <is>
          <t>TPS55340PWPR</t>
        </is>
      </c>
      <c r="J11" s="5" t="inlineStr">
        <is>
          <t>Integrated Circuits</t>
        </is>
      </c>
      <c r="K11" s="5" t="inlineStr">
        <is>
          <t>PMIC - Voltage Regulators - DC DC Switching</t>
        </is>
      </c>
      <c r="L11" s="5" t="inlineStr">
        <is>
          <t>Surface Mount</t>
        </is>
      </c>
      <c r="M11" s="7" t="inlineStr">
        <is>
          <t>TBD</t>
        </is>
      </c>
      <c r="N11" s="7" t="inlineStr">
        <is>
          <t>TBD</t>
        </is>
      </c>
      <c r="O11" s="5" t="inlineStr"/>
      <c r="P11" s="5" t="inlineStr">
        <is>
          <t>USB_PD_CONTROLLER</t>
        </is>
      </c>
      <c r="Q11" s="5">
        <f>IF(O11="EVET","DNP",IF(I11="N/A","SATIN ALINMAZ",IF(I11="TBD","MPN GEREKLİ","SEÇİLDİ")))</f>
        <v/>
      </c>
      <c r="R11" s="5" t="inlineStr">
        <is>
          <t>~</t>
        </is>
      </c>
      <c r="S11" s="8" t="inlineStr">
        <is>
          <t>TBD</t>
        </is>
      </c>
    </row>
    <row r="12">
      <c r="A12" s="5" t="n">
        <v>11</v>
      </c>
      <c r="B12" s="5">
        <f>IF(C12="",0,LEN(C12)-LEN(SUBSTITUTE(C12,",",""))+1)</f>
        <v/>
      </c>
      <c r="C12" s="6" t="inlineStr">
        <is>
          <t>U7</t>
        </is>
      </c>
      <c r="D12" s="5" t="inlineStr">
        <is>
          <t>TPS61023DRLR</t>
        </is>
      </c>
      <c r="E12" s="6" t="inlineStr">
        <is>
          <t>Resistor</t>
        </is>
      </c>
      <c r="F12" s="7" t="inlineStr">
        <is>
          <t>TBD</t>
        </is>
      </c>
      <c r="G12" s="5" t="inlineStr">
        <is>
          <t>Power_Management_Custom:TPS61023_DRL0006A</t>
        </is>
      </c>
      <c r="H12" s="5" t="inlineStr">
        <is>
          <t>Texas Instruments</t>
        </is>
      </c>
      <c r="I12" s="5" t="inlineStr">
        <is>
          <t>TPS61023DRLR</t>
        </is>
      </c>
      <c r="J12" s="5" t="inlineStr">
        <is>
          <t>Integrated Circuits</t>
        </is>
      </c>
      <c r="K12" s="5" t="inlineStr">
        <is>
          <t>PMIC - Voltage Regulators - DC DC Switching</t>
        </is>
      </c>
      <c r="L12" s="5" t="inlineStr">
        <is>
          <t>Surface Mount</t>
        </is>
      </c>
      <c r="M12" s="7" t="inlineStr">
        <is>
          <t>TBD</t>
        </is>
      </c>
      <c r="N12" s="7" t="inlineStr">
        <is>
          <t>TBD</t>
        </is>
      </c>
      <c r="O12" s="5" t="inlineStr"/>
      <c r="P12" s="5" t="inlineStr">
        <is>
          <t>USER INTERFACE</t>
        </is>
      </c>
      <c r="Q12" s="5">
        <f>IF(O12="EVET","DNP",IF(I12="N/A","SATIN ALINMAZ",IF(I12="TBD","MPN GEREKLİ","SEÇİLDİ")))</f>
        <v/>
      </c>
      <c r="R12" s="5" t="inlineStr">
        <is>
          <t>https://www.ti.com/lit/ds/symlink/tps61023.pdf</t>
        </is>
      </c>
      <c r="S12" s="8" t="inlineStr">
        <is>
          <t>TBD</t>
        </is>
      </c>
    </row>
    <row r="13">
      <c r="A13" s="5" t="n">
        <v>12</v>
      </c>
      <c r="B13" s="5">
        <f>IF(C13="",0,LEN(C13)-LEN(SUBSTITUTE(C13,",",""))+1)</f>
        <v/>
      </c>
      <c r="C13" s="6" t="inlineStr">
        <is>
          <t>Q5, Q6</t>
        </is>
      </c>
      <c r="D13" s="5" t="inlineStr">
        <is>
          <t>60V 4mR TBD</t>
        </is>
      </c>
      <c r="E13" s="8" t="inlineStr">
        <is>
          <t>TBD</t>
        </is>
      </c>
      <c r="F13" s="7" t="inlineStr">
        <is>
          <t>TBD</t>
        </is>
      </c>
      <c r="G13" s="5" t="inlineStr"/>
      <c r="H13" s="7" t="inlineStr">
        <is>
          <t>TBD</t>
        </is>
      </c>
      <c r="I13" s="7" t="inlineStr">
        <is>
          <t>TBD</t>
        </is>
      </c>
      <c r="J13" s="5" t="inlineStr">
        <is>
          <t>Discrete Semiconductor Products</t>
        </is>
      </c>
      <c r="K13" s="5" t="inlineStr">
        <is>
          <t>FETs, MOSFETs - Single</t>
        </is>
      </c>
      <c r="L13" s="7" t="inlineStr">
        <is>
          <t>TBD</t>
        </is>
      </c>
      <c r="M13" s="7" t="inlineStr">
        <is>
          <t>TBD</t>
        </is>
      </c>
      <c r="N13" s="7" t="inlineStr">
        <is>
          <t>TBD</t>
        </is>
      </c>
      <c r="O13" s="5" t="inlineStr"/>
      <c r="P13" s="5" t="inlineStr">
        <is>
          <t>USB_PD_CONTROLLER</t>
        </is>
      </c>
      <c r="Q13" s="5">
        <f>IF(O13="EVET","DNP",IF(I13="N/A","SATIN ALINMAZ",IF(I13="TBD","MPN GEREKLİ","SEÇİLDİ")))</f>
        <v/>
      </c>
      <c r="R13" s="5" t="inlineStr">
        <is>
          <t>~</t>
        </is>
      </c>
      <c r="S13" s="6" t="inlineStr">
        <is>
          <t>Parca secilmedi; 60V / 4mOhm hedefi ile aranacak.</t>
        </is>
      </c>
    </row>
    <row r="14">
      <c r="A14" s="5" t="n">
        <v>13</v>
      </c>
      <c r="B14" s="5">
        <f>IF(C14="",0,LEN(C14)-LEN(SUBSTITUTE(C14,",",""))+1)</f>
        <v/>
      </c>
      <c r="C14" s="6" t="inlineStr">
        <is>
          <t>Q1, Q2</t>
        </is>
      </c>
      <c r="D14" s="5" t="inlineStr">
        <is>
          <t>BSS138</t>
        </is>
      </c>
      <c r="E14" s="6" t="inlineStr">
        <is>
          <t>50V Vds, 0.22A Id, N-Channel MOSFET, SOT-23</t>
        </is>
      </c>
      <c r="F14" s="5" t="inlineStr">
        <is>
          <t>SOT-23</t>
        </is>
      </c>
      <c r="G14" s="5" t="inlineStr">
        <is>
          <t>Package_TO_SOT_SMD:SOT-23</t>
        </is>
      </c>
      <c r="H14" s="5" t="inlineStr">
        <is>
          <t>onsemi</t>
        </is>
      </c>
      <c r="I14" s="5" t="inlineStr">
        <is>
          <t>BSS138</t>
        </is>
      </c>
      <c r="J14" s="5" t="inlineStr">
        <is>
          <t>Discrete Semiconductor Products</t>
        </is>
      </c>
      <c r="K14" s="5" t="inlineStr">
        <is>
          <t>FETs, MOSFETs - Single</t>
        </is>
      </c>
      <c r="L14" s="5" t="inlineStr">
        <is>
          <t>Surface Mount</t>
        </is>
      </c>
      <c r="M14" s="7" t="inlineStr">
        <is>
          <t>TBD</t>
        </is>
      </c>
      <c r="N14" s="7" t="inlineStr">
        <is>
          <t>TBD</t>
        </is>
      </c>
      <c r="O14" s="5" t="inlineStr"/>
      <c r="P14" s="5" t="inlineStr">
        <is>
          <t>USB_PD_CONTROLLER</t>
        </is>
      </c>
      <c r="Q14" s="5">
        <f>IF(O14="EVET","DNP",IF(I14="N/A","SATIN ALINMAZ",IF(I14="TBD","MPN GEREKLİ","SEÇİLDİ")))</f>
        <v/>
      </c>
      <c r="R14" s="5" t="inlineStr">
        <is>
          <t>https://www.onsemi.com/pub/Collateral/BSS138-D.PDF</t>
        </is>
      </c>
      <c r="S14" s="8" t="inlineStr">
        <is>
          <t>TBD</t>
        </is>
      </c>
    </row>
    <row r="15">
      <c r="A15" s="5" t="n">
        <v>14</v>
      </c>
      <c r="B15" s="5">
        <f>IF(C15="",0,LEN(C15)-LEN(SUBSTITUTE(C15,",",""))+1)</f>
        <v/>
      </c>
      <c r="C15" s="6" t="inlineStr">
        <is>
          <t>Q3, Q4</t>
        </is>
      </c>
      <c r="D15" s="5" t="inlineStr">
        <is>
          <t>IRF7855TRPBF</t>
        </is>
      </c>
      <c r="E15" s="6" t="inlineStr">
        <is>
          <t>N-MOSFET transistor, gate/source/drain</t>
        </is>
      </c>
      <c r="F15" s="5" t="inlineStr">
        <is>
          <t>SOIC-8</t>
        </is>
      </c>
      <c r="G15" s="5" t="inlineStr">
        <is>
          <t>Package_SO:SOIC-8_3.9x4.9mm_P1.27mm</t>
        </is>
      </c>
      <c r="H15" s="5" t="inlineStr">
        <is>
          <t>Infineon Technologies</t>
        </is>
      </c>
      <c r="I15" s="5" t="inlineStr">
        <is>
          <t>IRF7855TRPBF</t>
        </is>
      </c>
      <c r="J15" s="5" t="inlineStr">
        <is>
          <t>Discrete Semiconductor Products</t>
        </is>
      </c>
      <c r="K15" s="5" t="inlineStr">
        <is>
          <t>FETs, MOSFETs - Single</t>
        </is>
      </c>
      <c r="L15" s="5" t="inlineStr">
        <is>
          <t>Surface Mount</t>
        </is>
      </c>
      <c r="M15" s="7" t="inlineStr">
        <is>
          <t>TBD</t>
        </is>
      </c>
      <c r="N15" s="7" t="inlineStr">
        <is>
          <t>TBD</t>
        </is>
      </c>
      <c r="O15" s="5" t="inlineStr"/>
      <c r="P15" s="5" t="inlineStr">
        <is>
          <t>USB_PD_CONTROLLER</t>
        </is>
      </c>
      <c r="Q15" s="5">
        <f>IF(O15="EVET","DNP",IF(I15="N/A","SATIN ALINMAZ",IF(I15="TBD","MPN GEREKLİ","SEÇİLDİ")))</f>
        <v/>
      </c>
      <c r="R15" s="7" t="inlineStr">
        <is>
          <t>TBD</t>
        </is>
      </c>
      <c r="S15" s="6" t="inlineStr">
        <is>
          <t>Prototip secimi; AP33772S kapi seviyesiyle kayip/SOA acik.</t>
        </is>
      </c>
    </row>
    <row r="16">
      <c r="A16" s="5" t="n">
        <v>15</v>
      </c>
      <c r="B16" s="5">
        <f>IF(C16="",0,LEN(C16)-LEN(SUBSTITUTE(C16,",",""))+1)</f>
        <v/>
      </c>
      <c r="C16" s="6" t="inlineStr">
        <is>
          <t>D5</t>
        </is>
      </c>
      <c r="D16" s="5" t="inlineStr">
        <is>
          <t>BAT54</t>
        </is>
      </c>
      <c r="E16" s="8" t="inlineStr">
        <is>
          <t>TBD</t>
        </is>
      </c>
      <c r="F16" s="5" t="inlineStr">
        <is>
          <t>SOD-123</t>
        </is>
      </c>
      <c r="G16" s="5" t="inlineStr">
        <is>
          <t>Diode_SMD:D_SOD-123</t>
        </is>
      </c>
      <c r="H16" s="7" t="inlineStr">
        <is>
          <t>TBD</t>
        </is>
      </c>
      <c r="I16" s="5" t="inlineStr">
        <is>
          <t>BAT54</t>
        </is>
      </c>
      <c r="J16" s="5" t="inlineStr">
        <is>
          <t>Discrete Semiconductor Products</t>
        </is>
      </c>
      <c r="K16" s="5" t="inlineStr">
        <is>
          <t>Diodes</t>
        </is>
      </c>
      <c r="L16" s="5" t="inlineStr">
        <is>
          <t>Surface Mount</t>
        </is>
      </c>
      <c r="M16" s="7" t="inlineStr">
        <is>
          <t>TBD</t>
        </is>
      </c>
      <c r="N16" s="7" t="inlineStr">
        <is>
          <t>TBD</t>
        </is>
      </c>
      <c r="O16" s="5" t="inlineStr"/>
      <c r="P16" s="5" t="inlineStr">
        <is>
          <t>USB_PD_CONTROLLER</t>
        </is>
      </c>
      <c r="Q16" s="5">
        <f>IF(O16="EVET","DNP",IF(I16="N/A","SATIN ALINMAZ",IF(I16="TBD","MPN GEREKLİ","SEÇİLDİ")))</f>
        <v/>
      </c>
      <c r="R16" s="5" t="inlineStr">
        <is>
          <t>~</t>
        </is>
      </c>
      <c r="S16" s="8" t="inlineStr">
        <is>
          <t>TBD</t>
        </is>
      </c>
    </row>
    <row r="17">
      <c r="A17" s="5" t="n">
        <v>16</v>
      </c>
      <c r="B17" s="5">
        <f>IF(C17="",0,LEN(C17)-LEN(SUBSTITUTE(C17,",",""))+1)</f>
        <v/>
      </c>
      <c r="C17" s="6" t="inlineStr">
        <is>
          <t>D6</t>
        </is>
      </c>
      <c r="D17" s="5" t="inlineStr">
        <is>
          <t>BZT52C12</t>
        </is>
      </c>
      <c r="E17" s="8" t="inlineStr">
        <is>
          <t>TBD</t>
        </is>
      </c>
      <c r="F17" s="5" t="inlineStr">
        <is>
          <t>SOD-123</t>
        </is>
      </c>
      <c r="G17" s="5" t="inlineStr">
        <is>
          <t>Diode_SMD:D_SOD-123</t>
        </is>
      </c>
      <c r="H17" s="7" t="inlineStr">
        <is>
          <t>TBD</t>
        </is>
      </c>
      <c r="I17" s="5" t="inlineStr">
        <is>
          <t>BZT52C12</t>
        </is>
      </c>
      <c r="J17" s="5" t="inlineStr">
        <is>
          <t>Discrete Semiconductor Products</t>
        </is>
      </c>
      <c r="K17" s="5" t="inlineStr">
        <is>
          <t>Diodes</t>
        </is>
      </c>
      <c r="L17" s="5" t="inlineStr">
        <is>
          <t>Surface Mount</t>
        </is>
      </c>
      <c r="M17" s="7" t="inlineStr">
        <is>
          <t>TBD</t>
        </is>
      </c>
      <c r="N17" s="7" t="inlineStr">
        <is>
          <t>TBD</t>
        </is>
      </c>
      <c r="O17" s="5" t="inlineStr"/>
      <c r="P17" s="5" t="inlineStr">
        <is>
          <t>USB_PD_CONTROLLER</t>
        </is>
      </c>
      <c r="Q17" s="5">
        <f>IF(O17="EVET","DNP",IF(I17="N/A","SATIN ALINMAZ",IF(I17="TBD","MPN GEREKLİ","SEÇİLDİ")))</f>
        <v/>
      </c>
      <c r="R17" s="5" t="inlineStr">
        <is>
          <t>~</t>
        </is>
      </c>
      <c r="S17" s="8" t="inlineStr">
        <is>
          <t>TBD</t>
        </is>
      </c>
    </row>
    <row r="18">
      <c r="A18" s="5" t="n">
        <v>17</v>
      </c>
      <c r="B18" s="5">
        <f>IF(C18="",0,LEN(C18)-LEN(SUBSTITUTE(C18,",",""))+1)</f>
        <v/>
      </c>
      <c r="C18" s="6" t="inlineStr">
        <is>
          <t>D1</t>
        </is>
      </c>
      <c r="D18" s="5" t="inlineStr">
        <is>
          <t>LED</t>
        </is>
      </c>
      <c r="E18" s="6" t="inlineStr">
        <is>
          <t>Light emitting diode</t>
        </is>
      </c>
      <c r="F18" s="5" t="inlineStr">
        <is>
          <t>0402 (1005 Metric)</t>
        </is>
      </c>
      <c r="G18" s="5" t="inlineStr">
        <is>
          <t>LED_SMD:LED_0402_1005Metric</t>
        </is>
      </c>
      <c r="H18" s="7" t="inlineStr">
        <is>
          <t>TBD</t>
        </is>
      </c>
      <c r="I18" s="7" t="inlineStr">
        <is>
          <t>TBD</t>
        </is>
      </c>
      <c r="J18" s="5" t="inlineStr">
        <is>
          <t>Optoelectronics</t>
        </is>
      </c>
      <c r="K18" s="5" t="inlineStr">
        <is>
          <t>LED Indication - Discrete</t>
        </is>
      </c>
      <c r="L18" s="5" t="inlineStr">
        <is>
          <t>Surface Mount</t>
        </is>
      </c>
      <c r="M18" s="7" t="inlineStr">
        <is>
          <t>TBD</t>
        </is>
      </c>
      <c r="N18" s="7" t="inlineStr">
        <is>
          <t>TBD</t>
        </is>
      </c>
      <c r="O18" s="5" t="inlineStr"/>
      <c r="P18" s="5" t="inlineStr">
        <is>
          <t>USB_PD_CONTROLLER</t>
        </is>
      </c>
      <c r="Q18" s="5">
        <f>IF(O18="EVET","DNP",IF(I18="N/A","SATIN ALINMAZ",IF(I18="TBD","MPN GEREKLİ","SEÇİLDİ")))</f>
        <v/>
      </c>
      <c r="R18" s="7" t="inlineStr">
        <is>
          <t>TBD</t>
        </is>
      </c>
      <c r="S18" s="8" t="inlineStr">
        <is>
          <t>TBD</t>
        </is>
      </c>
    </row>
    <row r="19">
      <c r="A19" s="5" t="n">
        <v>18</v>
      </c>
      <c r="B19" s="5">
        <f>IF(C19="",0,LEN(C19)-LEN(SUBSTITUTE(C19,",",""))+1)</f>
        <v/>
      </c>
      <c r="C19" s="6" t="inlineStr">
        <is>
          <t>D3, D7</t>
        </is>
      </c>
      <c r="D19" s="5" t="inlineStr">
        <is>
          <t>SMBJ30A</t>
        </is>
      </c>
      <c r="E19" s="6" t="inlineStr">
        <is>
          <t>400W unidirectional Transient Voltage Suppressor, 30.0Vr, SMA(DO-214AC) | TBD</t>
        </is>
      </c>
      <c r="F19" s="5" t="inlineStr">
        <is>
          <t>SMB (DO-214AA)</t>
        </is>
      </c>
      <c r="G19" s="5" t="inlineStr">
        <is>
          <t>Diode_SMD:D_SMB</t>
        </is>
      </c>
      <c r="H19" s="7" t="inlineStr">
        <is>
          <t>TBD</t>
        </is>
      </c>
      <c r="I19" s="5" t="inlineStr">
        <is>
          <t>SMBJ30A</t>
        </is>
      </c>
      <c r="J19" s="5" t="inlineStr">
        <is>
          <t>Circuit Protection</t>
        </is>
      </c>
      <c r="K19" s="5" t="inlineStr">
        <is>
          <t>TVS Diodes</t>
        </is>
      </c>
      <c r="L19" s="5" t="inlineStr">
        <is>
          <t>Surface Mount</t>
        </is>
      </c>
      <c r="M19" s="7" t="inlineStr">
        <is>
          <t>TBD</t>
        </is>
      </c>
      <c r="N19" s="7" t="inlineStr">
        <is>
          <t>TBD</t>
        </is>
      </c>
      <c r="O19" s="5" t="inlineStr"/>
      <c r="P19" s="5" t="inlineStr">
        <is>
          <t>USB_C_INPUT, USB_PD_CONTROLLER</t>
        </is>
      </c>
      <c r="Q19" s="5">
        <f>IF(O19="EVET","DNP",IF(I19="N/A","SATIN ALINMAZ",IF(I19="TBD","MPN GEREKLİ","SEÇİLDİ")))</f>
        <v/>
      </c>
      <c r="R19" s="5" t="inlineStr">
        <is>
          <t>https://www.littelfuse.com/media?resourcetype=datasheets&amp;itemid=75e32973-b177-4ee3-a0ff-cedaf1abdb93&amp;filename=smaj-datasheet | ~</t>
        </is>
      </c>
      <c r="S19" s="8" t="inlineStr">
        <is>
          <t>TBD</t>
        </is>
      </c>
    </row>
    <row r="20">
      <c r="A20" s="5" t="n">
        <v>19</v>
      </c>
      <c r="B20" s="5">
        <f>IF(C20="",0,LEN(C20)-LEN(SUBSTITUTE(C20,",",""))+1)</f>
        <v/>
      </c>
      <c r="C20" s="6" t="inlineStr">
        <is>
          <t>D2</t>
        </is>
      </c>
      <c r="D20" s="5" t="inlineStr">
        <is>
          <t>SS2060FL</t>
        </is>
      </c>
      <c r="E20" s="8" t="inlineStr">
        <is>
          <t>TBD</t>
        </is>
      </c>
      <c r="F20" s="5" t="inlineStr">
        <is>
          <t>SOD-123F</t>
        </is>
      </c>
      <c r="G20" s="5" t="inlineStr">
        <is>
          <t>Diode_SMD:D_SOD-123F</t>
        </is>
      </c>
      <c r="H20" s="5" t="inlineStr">
        <is>
          <t>PANJIT</t>
        </is>
      </c>
      <c r="I20" s="5" t="inlineStr">
        <is>
          <t>SS2060FL_R1_00001</t>
        </is>
      </c>
      <c r="J20" s="5" t="inlineStr">
        <is>
          <t>Discrete Semiconductor Products</t>
        </is>
      </c>
      <c r="K20" s="5" t="inlineStr">
        <is>
          <t>Diodes</t>
        </is>
      </c>
      <c r="L20" s="5" t="inlineStr">
        <is>
          <t>Surface Mount</t>
        </is>
      </c>
      <c r="M20" s="7" t="inlineStr">
        <is>
          <t>TBD</t>
        </is>
      </c>
      <c r="N20" s="7" t="inlineStr">
        <is>
          <t>TBD</t>
        </is>
      </c>
      <c r="O20" s="5" t="inlineStr"/>
      <c r="P20" s="5" t="inlineStr">
        <is>
          <t>USB_PD_CONTROLLER</t>
        </is>
      </c>
      <c r="Q20" s="5">
        <f>IF(O20="EVET","DNP",IF(I20="N/A","SATIN ALINMAZ",IF(I20="TBD","MPN GEREKLİ","SEÇİLDİ")))</f>
        <v/>
      </c>
      <c r="R20" s="5" t="inlineStr">
        <is>
          <t>https://www.ozdisan.com/p/schottky-diyotlar-385/panjit-ss2060fl-r1-00001-574723</t>
        </is>
      </c>
      <c r="S20" s="6" t="inlineStr">
        <is>
          <t>Katot LX, anot GND. Tedarik: Ozdisan.</t>
        </is>
      </c>
    </row>
    <row r="21">
      <c r="A21" s="5" t="n">
        <v>20</v>
      </c>
      <c r="B21" s="5">
        <f>IF(C21="",0,LEN(C21)-LEN(SUBSTITUTE(C21,",",""))+1)</f>
        <v/>
      </c>
      <c r="C21" s="6" t="inlineStr">
        <is>
          <t>D4</t>
        </is>
      </c>
      <c r="D21" s="5" t="inlineStr">
        <is>
          <t>SS34 TBD</t>
        </is>
      </c>
      <c r="E21" s="8" t="inlineStr">
        <is>
          <t>TBD</t>
        </is>
      </c>
      <c r="F21" s="5" t="inlineStr">
        <is>
          <t>SMA (DO-214AC)</t>
        </is>
      </c>
      <c r="G21" s="5" t="inlineStr">
        <is>
          <t>Diode_SMD:D_SMA</t>
        </is>
      </c>
      <c r="H21" s="7" t="inlineStr">
        <is>
          <t>TBD</t>
        </is>
      </c>
      <c r="I21" s="7" t="inlineStr">
        <is>
          <t>TBD</t>
        </is>
      </c>
      <c r="J21" s="5" t="inlineStr">
        <is>
          <t>Discrete Semiconductor Products</t>
        </is>
      </c>
      <c r="K21" s="5" t="inlineStr">
        <is>
          <t>Diodes</t>
        </is>
      </c>
      <c r="L21" s="5" t="inlineStr">
        <is>
          <t>Surface Mount</t>
        </is>
      </c>
      <c r="M21" s="7" t="inlineStr">
        <is>
          <t>TBD</t>
        </is>
      </c>
      <c r="N21" s="7" t="inlineStr">
        <is>
          <t>TBD</t>
        </is>
      </c>
      <c r="O21" s="5" t="inlineStr"/>
      <c r="P21" s="5" t="inlineStr">
        <is>
          <t>USB_PD_CONTROLLER</t>
        </is>
      </c>
      <c r="Q21" s="5">
        <f>IF(O21="EVET","DNP",IF(I21="N/A","SATIN ALINMAZ",IF(I21="TBD","MPN GEREKLİ","SEÇİLDİ")))</f>
        <v/>
      </c>
      <c r="R21" s="5" t="inlineStr">
        <is>
          <t>~</t>
        </is>
      </c>
      <c r="S21" s="6" t="inlineStr">
        <is>
          <t>SS34 hedefi; kesin MPN secilmedi.</t>
        </is>
      </c>
    </row>
    <row r="22">
      <c r="A22" s="5" t="n">
        <v>21</v>
      </c>
      <c r="B22" s="5">
        <f>IF(C22="",0,LEN(C22)-LEN(SUBSTITUTE(C22,",",""))+1)</f>
        <v/>
      </c>
      <c r="C22" s="6" t="inlineStr">
        <is>
          <t>L1</t>
        </is>
      </c>
      <c r="D22" s="5" t="inlineStr">
        <is>
          <t>22u</t>
        </is>
      </c>
      <c r="E22" s="8" t="inlineStr">
        <is>
          <t>TBD</t>
        </is>
      </c>
      <c r="F22" s="5" t="inlineStr">
        <is>
          <t>7.3x7.3x4.5mm</t>
        </is>
      </c>
      <c r="G22" s="5" t="inlineStr">
        <is>
          <t>Inductor_SMD:L_7.3x7.3_H4.5</t>
        </is>
      </c>
      <c r="H22" s="5" t="inlineStr">
        <is>
          <t>CORE MASTER</t>
        </is>
      </c>
      <c r="I22" s="5" t="inlineStr">
        <is>
          <t>SRI0704-220M</t>
        </is>
      </c>
      <c r="J22" s="5" t="inlineStr">
        <is>
          <t>Inductors, Coils, Chokes</t>
        </is>
      </c>
      <c r="K22" s="5" t="inlineStr">
        <is>
          <t>Fixed Inductors</t>
        </is>
      </c>
      <c r="L22" s="5" t="inlineStr">
        <is>
          <t>Surface Mount</t>
        </is>
      </c>
      <c r="M22" s="7" t="inlineStr">
        <is>
          <t>TBD</t>
        </is>
      </c>
      <c r="N22" s="7" t="inlineStr">
        <is>
          <t>TBD</t>
        </is>
      </c>
      <c r="O22" s="5" t="inlineStr"/>
      <c r="P22" s="5" t="inlineStr">
        <is>
          <t>USB_PD_CONTROLLER</t>
        </is>
      </c>
      <c r="Q22" s="5">
        <f>IF(O22="EVET","DNP",IF(I22="N/A","SATIN ALINMAZ",IF(I22="TBD","MPN GEREKLİ","SEÇİLDİ")))</f>
        <v/>
      </c>
      <c r="R22" s="5" t="inlineStr">
        <is>
          <t>https://store.comet.bg/download-file.php?id=16477</t>
        </is>
      </c>
      <c r="S22" s="6" t="inlineStr">
        <is>
          <t>22uH, 1.95A, 0.11ohm max; 1.95A'de 18.2uH (L -17%).</t>
        </is>
      </c>
    </row>
    <row r="23">
      <c r="A23" s="5" t="n">
        <v>22</v>
      </c>
      <c r="B23" s="5">
        <f>IF(C23="",0,LEN(C23)-LEN(SUBSTITUTE(C23,",",""))+1)</f>
        <v/>
      </c>
      <c r="C23" s="6" t="inlineStr">
        <is>
          <t>L2</t>
        </is>
      </c>
      <c r="D23" s="5" t="inlineStr">
        <is>
          <t>2u2</t>
        </is>
      </c>
      <c r="E23" s="8" t="inlineStr">
        <is>
          <t>TBD</t>
        </is>
      </c>
      <c r="F23" s="5" t="inlineStr">
        <is>
          <t>MAPI-4030 (4.0x3.0mm)</t>
        </is>
      </c>
      <c r="G23" s="5" t="inlineStr">
        <is>
          <t>Inductor_SMD:L_Wuerth_MAPI-4030</t>
        </is>
      </c>
      <c r="H23" s="5" t="inlineStr">
        <is>
          <t>Wurth Elektronik</t>
        </is>
      </c>
      <c r="I23" s="5" t="inlineStr">
        <is>
          <t>74438357022</t>
        </is>
      </c>
      <c r="J23" s="5" t="inlineStr">
        <is>
          <t>Inductors, Coils, Chokes</t>
        </is>
      </c>
      <c r="K23" s="5" t="inlineStr">
        <is>
          <t>Fixed Inductors</t>
        </is>
      </c>
      <c r="L23" s="5" t="inlineStr">
        <is>
          <t>Surface Mount</t>
        </is>
      </c>
      <c r="M23" s="7" t="inlineStr">
        <is>
          <t>TBD</t>
        </is>
      </c>
      <c r="N23" s="7" t="inlineStr">
        <is>
          <t>TBD</t>
        </is>
      </c>
      <c r="O23" s="5" t="inlineStr"/>
      <c r="P23" s="5" t="inlineStr">
        <is>
          <t>USER INTERFACE</t>
        </is>
      </c>
      <c r="Q23" s="5">
        <f>IF(O23="EVET","DNP",IF(I23="N/A","SATIN ALINMAZ",IF(I23="TBD","MPN GEREKLİ","SEÇİLDİ")))</f>
        <v/>
      </c>
      <c r="R23" s="5" t="inlineStr">
        <is>
          <t>https://www.we-online.com/components/products/datasheet/74438357022.pdf</t>
        </is>
      </c>
      <c r="S23" s="6" t="inlineStr">
        <is>
          <t>Isat &gt;=2A ve Irms &gt;=1.5A (max sicaklikta) gerekir; ariza akimi kontrol edildi.</t>
        </is>
      </c>
    </row>
    <row r="24">
      <c r="A24" s="5" t="n">
        <v>23</v>
      </c>
      <c r="B24" s="5">
        <f>IF(C24="",0,LEN(C24)-LEN(SUBSTITUTE(C24,",",""))+1)</f>
        <v/>
      </c>
      <c r="C24" s="6" t="inlineStr">
        <is>
          <t>L3</t>
        </is>
      </c>
      <c r="D24" s="5" t="inlineStr">
        <is>
          <t>6u8</t>
        </is>
      </c>
      <c r="E24" s="8" t="inlineStr">
        <is>
          <t>TBD</t>
        </is>
      </c>
      <c r="F24" s="5" t="inlineStr">
        <is>
          <t>1210 (3225 Metric)</t>
        </is>
      </c>
      <c r="G24" s="5" t="inlineStr">
        <is>
          <t>Inductor_SMD:L_1210_3225Metric</t>
        </is>
      </c>
      <c r="H24" s="7" t="inlineStr">
        <is>
          <t>TBD</t>
        </is>
      </c>
      <c r="I24" s="7" t="inlineStr">
        <is>
          <t>TBD</t>
        </is>
      </c>
      <c r="J24" s="5" t="inlineStr">
        <is>
          <t>Inductors, Coils, Chokes</t>
        </is>
      </c>
      <c r="K24" s="5" t="inlineStr">
        <is>
          <t>Fixed Inductors</t>
        </is>
      </c>
      <c r="L24" s="5" t="inlineStr">
        <is>
          <t>Surface Mount</t>
        </is>
      </c>
      <c r="M24" s="7" t="inlineStr">
        <is>
          <t>TBD</t>
        </is>
      </c>
      <c r="N24" s="7" t="inlineStr">
        <is>
          <t>TBD</t>
        </is>
      </c>
      <c r="O24" s="5" t="inlineStr"/>
      <c r="P24" s="5" t="inlineStr">
        <is>
          <t>USB_PD_CONTROLLER</t>
        </is>
      </c>
      <c r="Q24" s="5">
        <f>IF(O24="EVET","DNP",IF(I24="N/A","SATIN ALINMAZ",IF(I24="TBD","MPN GEREKLİ","SEÇİLDİ")))</f>
        <v/>
      </c>
      <c r="R24" s="5" t="inlineStr">
        <is>
          <t>~</t>
        </is>
      </c>
      <c r="S24" s="8" t="inlineStr">
        <is>
          <t>TBD</t>
        </is>
      </c>
    </row>
    <row r="25">
      <c r="A25" s="5" t="n">
        <v>24</v>
      </c>
      <c r="B25" s="5">
        <f>IF(C25="",0,LEN(C25)-LEN(SUBSTITUTE(C25,",",""))+1)</f>
        <v/>
      </c>
      <c r="C25" s="6" t="inlineStr">
        <is>
          <t>C14</t>
        </is>
      </c>
      <c r="D25" s="5" t="inlineStr">
        <is>
          <t>100n</t>
        </is>
      </c>
      <c r="E25" s="8" t="inlineStr">
        <is>
          <t>TBD</t>
        </is>
      </c>
      <c r="F25" s="5" t="inlineStr">
        <is>
          <t>0402 (1005 Metric)</t>
        </is>
      </c>
      <c r="G25" s="5" t="inlineStr">
        <is>
          <t>Capacitor_SMD:C_0402_1005Metric</t>
        </is>
      </c>
      <c r="H25" s="7" t="inlineStr">
        <is>
          <t>TBD</t>
        </is>
      </c>
      <c r="I25" s="7" t="inlineStr">
        <is>
          <t>TBD</t>
        </is>
      </c>
      <c r="J25" s="5" t="inlineStr">
        <is>
          <t>Capacitors</t>
        </is>
      </c>
      <c r="K25" s="5" t="inlineStr">
        <is>
          <t>Ceramic Capacitors</t>
        </is>
      </c>
      <c r="L25" s="5" t="inlineStr">
        <is>
          <t>Surface Mount</t>
        </is>
      </c>
      <c r="M25" s="7" t="inlineStr">
        <is>
          <t>TBD</t>
        </is>
      </c>
      <c r="N25" s="7" t="inlineStr">
        <is>
          <t>TBD</t>
        </is>
      </c>
      <c r="O25" s="5" t="inlineStr"/>
      <c r="P25" s="5" t="inlineStr">
        <is>
          <t>USB_PD_CONTROLLER</t>
        </is>
      </c>
      <c r="Q25" s="5">
        <f>IF(O25="EVET","DNP",IF(I25="N/A","SATIN ALINMAZ",IF(I25="TBD","MPN GEREKLİ","SEÇİLDİ")))</f>
        <v/>
      </c>
      <c r="R25" s="7" t="inlineStr">
        <is>
          <t>TBD</t>
        </is>
      </c>
      <c r="S25" s="6" t="inlineStr">
        <is>
          <t>X7R.</t>
        </is>
      </c>
    </row>
    <row r="26">
      <c r="A26" s="5" t="n">
        <v>25</v>
      </c>
      <c r="B26" s="5">
        <f>IF(C26="",0,LEN(C26)-LEN(SUBSTITUTE(C26,",",""))+1)</f>
        <v/>
      </c>
      <c r="C26" s="6" t="inlineStr">
        <is>
          <t>C1, C2, C6, C9, C10, C11, C24</t>
        </is>
      </c>
      <c r="D26" s="5" t="inlineStr">
        <is>
          <t>100n</t>
        </is>
      </c>
      <c r="E26" s="6" t="inlineStr">
        <is>
          <t>Unpolarized capacitor | TBD</t>
        </is>
      </c>
      <c r="F26" s="5" t="inlineStr">
        <is>
          <t>0402 (1005 Metric)</t>
        </is>
      </c>
      <c r="G26" s="5" t="inlineStr">
        <is>
          <t>Capacitor_SMD:C_0402_1005Metric</t>
        </is>
      </c>
      <c r="H26" s="7" t="inlineStr">
        <is>
          <t>TBD</t>
        </is>
      </c>
      <c r="I26" s="7" t="inlineStr">
        <is>
          <t>TBD</t>
        </is>
      </c>
      <c r="J26" s="5" t="inlineStr">
        <is>
          <t>Capacitors</t>
        </is>
      </c>
      <c r="K26" s="5" t="inlineStr">
        <is>
          <t>Ceramic Capacitors</t>
        </is>
      </c>
      <c r="L26" s="5" t="inlineStr">
        <is>
          <t>Surface Mount</t>
        </is>
      </c>
      <c r="M26" s="7" t="inlineStr">
        <is>
          <t>TBD</t>
        </is>
      </c>
      <c r="N26" s="7" t="inlineStr">
        <is>
          <t>TBD</t>
        </is>
      </c>
      <c r="O26" s="5" t="inlineStr"/>
      <c r="P26" s="5" t="inlineStr">
        <is>
          <t>MCU, USB_PD_CONTROLLER</t>
        </is>
      </c>
      <c r="Q26" s="5">
        <f>IF(O26="EVET","DNP",IF(I26="N/A","SATIN ALINMAZ",IF(I26="TBD","MPN GEREKLİ","SEÇİLDİ")))</f>
        <v/>
      </c>
      <c r="R26" s="5" t="inlineStr">
        <is>
          <t>TBD | ~</t>
        </is>
      </c>
      <c r="S26" s="8" t="inlineStr">
        <is>
          <t>TBD</t>
        </is>
      </c>
    </row>
    <row r="27">
      <c r="A27" s="5" t="n">
        <v>26</v>
      </c>
      <c r="B27" s="5">
        <f>IF(C27="",0,LEN(C27)-LEN(SUBSTITUTE(C27,",",""))+1)</f>
        <v/>
      </c>
      <c r="C27" s="6" t="inlineStr">
        <is>
          <t>C17</t>
        </is>
      </c>
      <c r="D27" s="5" t="inlineStr">
        <is>
          <t>100n</t>
        </is>
      </c>
      <c r="E27" s="8" t="inlineStr">
        <is>
          <t>TBD</t>
        </is>
      </c>
      <c r="F27" s="5" t="inlineStr">
        <is>
          <t>0402 (1005 Metric)</t>
        </is>
      </c>
      <c r="G27" s="5" t="inlineStr">
        <is>
          <t>Capacitor_SMD:C_0402_1005Metric</t>
        </is>
      </c>
      <c r="H27" s="7" t="inlineStr">
        <is>
          <t>TBD</t>
        </is>
      </c>
      <c r="I27" s="7" t="inlineStr">
        <is>
          <t>TBD</t>
        </is>
      </c>
      <c r="J27" s="5" t="inlineStr">
        <is>
          <t>Capacitors</t>
        </is>
      </c>
      <c r="K27" s="5" t="inlineStr">
        <is>
          <t>Ceramic Capacitors</t>
        </is>
      </c>
      <c r="L27" s="5" t="inlineStr">
        <is>
          <t>Surface Mount</t>
        </is>
      </c>
      <c r="M27" s="7" t="inlineStr">
        <is>
          <t>TBD</t>
        </is>
      </c>
      <c r="N27" s="7" t="inlineStr">
        <is>
          <t>TBD</t>
        </is>
      </c>
      <c r="O27" s="5" t="inlineStr"/>
      <c r="P27" s="5" t="inlineStr">
        <is>
          <t>USB_PD_CONTROLLER</t>
        </is>
      </c>
      <c r="Q27" s="5">
        <f>IF(O27="EVET","DNP",IF(I27="N/A","SATIN ALINMAZ",IF(I27="TBD","MPN GEREKLİ","SEÇİLDİ")))</f>
        <v/>
      </c>
      <c r="R27" s="7" t="inlineStr">
        <is>
          <t>TBD</t>
        </is>
      </c>
      <c r="S27" s="8" t="inlineStr">
        <is>
          <t>TBD</t>
        </is>
      </c>
    </row>
    <row r="28">
      <c r="A28" s="5" t="n">
        <v>27</v>
      </c>
      <c r="B28" s="5">
        <f>IF(C28="",0,LEN(C28)-LEN(SUBSTITUTE(C28,",",""))+1)</f>
        <v/>
      </c>
      <c r="C28" s="6" t="inlineStr">
        <is>
          <t>C26, C32</t>
        </is>
      </c>
      <c r="D28" s="5" t="inlineStr">
        <is>
          <t>100n</t>
        </is>
      </c>
      <c r="E28" s="8" t="inlineStr">
        <is>
          <t>TBD</t>
        </is>
      </c>
      <c r="F28" s="5" t="inlineStr">
        <is>
          <t>0402 (1005 Metric)</t>
        </is>
      </c>
      <c r="G28" s="5" t="inlineStr">
        <is>
          <t>Capacitor_SMD:C_0402_1005Metric</t>
        </is>
      </c>
      <c r="H28" s="7" t="inlineStr">
        <is>
          <t>TBD</t>
        </is>
      </c>
      <c r="I28" s="7" t="inlineStr">
        <is>
          <t>TBD</t>
        </is>
      </c>
      <c r="J28" s="5" t="inlineStr">
        <is>
          <t>Capacitors</t>
        </is>
      </c>
      <c r="K28" s="5" t="inlineStr">
        <is>
          <t>Ceramic Capacitors</t>
        </is>
      </c>
      <c r="L28" s="5" t="inlineStr">
        <is>
          <t>Surface Mount</t>
        </is>
      </c>
      <c r="M28" s="7" t="inlineStr">
        <is>
          <t>TBD</t>
        </is>
      </c>
      <c r="N28" s="7" t="inlineStr">
        <is>
          <t>TBD</t>
        </is>
      </c>
      <c r="O28" s="5" t="inlineStr"/>
      <c r="P28" s="5" t="inlineStr">
        <is>
          <t>USB_PD_CONTROLLER</t>
        </is>
      </c>
      <c r="Q28" s="5">
        <f>IF(O28="EVET","DNP",IF(I28="N/A","SATIN ALINMAZ",IF(I28="TBD","MPN GEREKLİ","SEÇİLDİ")))</f>
        <v/>
      </c>
      <c r="R28" s="5" t="inlineStr">
        <is>
          <t>~</t>
        </is>
      </c>
      <c r="S28" s="8" t="inlineStr">
        <is>
          <t>TBD</t>
        </is>
      </c>
    </row>
    <row r="29">
      <c r="A29" s="5" t="n">
        <v>28</v>
      </c>
      <c r="B29" s="5">
        <f>IF(C29="",0,LEN(C29)-LEN(SUBSTITUTE(C29,",",""))+1)</f>
        <v/>
      </c>
      <c r="C29" s="6" t="inlineStr">
        <is>
          <t>C22</t>
        </is>
      </c>
      <c r="D29" s="5" t="inlineStr">
        <is>
          <t>100n</t>
        </is>
      </c>
      <c r="E29" s="8" t="inlineStr">
        <is>
          <t>TBD</t>
        </is>
      </c>
      <c r="F29" s="5" t="inlineStr">
        <is>
          <t>0402 (1005 Metric)</t>
        </is>
      </c>
      <c r="G29" s="5" t="inlineStr">
        <is>
          <t>Capacitor_SMD:C_0402_1005Metric</t>
        </is>
      </c>
      <c r="H29" s="7" t="inlineStr">
        <is>
          <t>TBD</t>
        </is>
      </c>
      <c r="I29" s="7" t="inlineStr">
        <is>
          <t>TBD</t>
        </is>
      </c>
      <c r="J29" s="5" t="inlineStr">
        <is>
          <t>Capacitors</t>
        </is>
      </c>
      <c r="K29" s="5" t="inlineStr">
        <is>
          <t>Ceramic Capacitors</t>
        </is>
      </c>
      <c r="L29" s="5" t="inlineStr">
        <is>
          <t>Surface Mount</t>
        </is>
      </c>
      <c r="M29" s="7" t="inlineStr">
        <is>
          <t>TBD</t>
        </is>
      </c>
      <c r="N29" s="7" t="inlineStr">
        <is>
          <t>TBD</t>
        </is>
      </c>
      <c r="O29" s="5" t="inlineStr"/>
      <c r="P29" s="5" t="inlineStr">
        <is>
          <t>USER INTERFACE</t>
        </is>
      </c>
      <c r="Q29" s="5">
        <f>IF(O29="EVET","DNP",IF(I29="N/A","SATIN ALINMAZ",IF(I29="TBD","MPN GEREKLİ","SEÇİLDİ")))</f>
        <v/>
      </c>
      <c r="R29" s="7" t="inlineStr">
        <is>
          <t>TBD</t>
        </is>
      </c>
      <c r="S29" s="6" t="inlineStr">
        <is>
          <t>X7R.</t>
        </is>
      </c>
    </row>
    <row r="30">
      <c r="A30" s="5" t="n">
        <v>29</v>
      </c>
      <c r="B30" s="5">
        <f>IF(C30="",0,LEN(C30)-LEN(SUBSTITUTE(C30,",",""))+1)</f>
        <v/>
      </c>
      <c r="C30" s="6" t="inlineStr">
        <is>
          <t>C18</t>
        </is>
      </c>
      <c r="D30" s="5" t="inlineStr">
        <is>
          <t>10n</t>
        </is>
      </c>
      <c r="E30" s="8" t="inlineStr">
        <is>
          <t>TBD</t>
        </is>
      </c>
      <c r="F30" s="5" t="inlineStr">
        <is>
          <t>0402 (1005 Metric)</t>
        </is>
      </c>
      <c r="G30" s="5" t="inlineStr">
        <is>
          <t>Capacitor_SMD:C_0402_1005Metric</t>
        </is>
      </c>
      <c r="H30" s="7" t="inlineStr">
        <is>
          <t>TBD</t>
        </is>
      </c>
      <c r="I30" s="7" t="inlineStr">
        <is>
          <t>TBD</t>
        </is>
      </c>
      <c r="J30" s="5" t="inlineStr">
        <is>
          <t>Capacitors</t>
        </is>
      </c>
      <c r="K30" s="5" t="inlineStr">
        <is>
          <t>Ceramic Capacitors</t>
        </is>
      </c>
      <c r="L30" s="5" t="inlineStr">
        <is>
          <t>Surface Mount</t>
        </is>
      </c>
      <c r="M30" s="7" t="inlineStr">
        <is>
          <t>TBD</t>
        </is>
      </c>
      <c r="N30" s="7" t="inlineStr">
        <is>
          <t>TBD</t>
        </is>
      </c>
      <c r="O30" s="5" t="inlineStr"/>
      <c r="P30" s="5" t="inlineStr">
        <is>
          <t>USB_PD_CONTROLLER</t>
        </is>
      </c>
      <c r="Q30" s="5">
        <f>IF(O30="EVET","DNP",IF(I30="N/A","SATIN ALINMAZ",IF(I30="TBD","MPN GEREKLİ","SEÇİLDİ")))</f>
        <v/>
      </c>
      <c r="R30" s="7" t="inlineStr">
        <is>
          <t>TBD</t>
        </is>
      </c>
      <c r="S30" s="8" t="inlineStr">
        <is>
          <t>TBD</t>
        </is>
      </c>
    </row>
    <row r="31">
      <c r="A31" s="5" t="n">
        <v>30</v>
      </c>
      <c r="B31" s="5">
        <f>IF(C31="",0,LEN(C31)-LEN(SUBSTITUTE(C31,",",""))+1)</f>
        <v/>
      </c>
      <c r="C31" s="6" t="inlineStr">
        <is>
          <t>C8</t>
        </is>
      </c>
      <c r="D31" s="5" t="inlineStr">
        <is>
          <t>10u</t>
        </is>
      </c>
      <c r="E31" s="6" t="inlineStr">
        <is>
          <t>Unpolarized capacitor</t>
        </is>
      </c>
      <c r="F31" s="5" t="inlineStr">
        <is>
          <t>0402 (1005 Metric)</t>
        </is>
      </c>
      <c r="G31" s="5" t="inlineStr">
        <is>
          <t>Capacitor_SMD:C_0402_1005Metric</t>
        </is>
      </c>
      <c r="H31" s="7" t="inlineStr">
        <is>
          <t>TBD</t>
        </is>
      </c>
      <c r="I31" s="7" t="inlineStr">
        <is>
          <t>TBD</t>
        </is>
      </c>
      <c r="J31" s="5" t="inlineStr">
        <is>
          <t>Capacitors</t>
        </is>
      </c>
      <c r="K31" s="5" t="inlineStr">
        <is>
          <t>Ceramic Capacitors</t>
        </is>
      </c>
      <c r="L31" s="5" t="inlineStr">
        <is>
          <t>Surface Mount</t>
        </is>
      </c>
      <c r="M31" s="7" t="inlineStr">
        <is>
          <t>TBD</t>
        </is>
      </c>
      <c r="N31" s="7" t="inlineStr">
        <is>
          <t>TBD</t>
        </is>
      </c>
      <c r="O31" s="5" t="inlineStr"/>
      <c r="P31" s="5" t="inlineStr">
        <is>
          <t>USB_PD_CONTROLLER</t>
        </is>
      </c>
      <c r="Q31" s="5">
        <f>IF(O31="EVET","DNP",IF(I31="N/A","SATIN ALINMAZ",IF(I31="TBD","MPN GEREKLİ","SEÇİLDİ")))</f>
        <v/>
      </c>
      <c r="R31" s="7" t="inlineStr">
        <is>
          <t>TBD</t>
        </is>
      </c>
      <c r="S31" s="8" t="inlineStr">
        <is>
          <t>TBD</t>
        </is>
      </c>
    </row>
    <row r="32">
      <c r="A32" s="5" t="n">
        <v>31</v>
      </c>
      <c r="B32" s="5">
        <f>IF(C32="",0,LEN(C32)-LEN(SUBSTITUTE(C32,",",""))+1)</f>
        <v/>
      </c>
      <c r="C32" s="6" t="inlineStr">
        <is>
          <t>C12, C13</t>
        </is>
      </c>
      <c r="D32" s="5" t="inlineStr">
        <is>
          <t>10u</t>
        </is>
      </c>
      <c r="E32" s="8" t="inlineStr">
        <is>
          <t>TBD</t>
        </is>
      </c>
      <c r="F32" s="5" t="inlineStr">
        <is>
          <t>1210 (3225 Metric)</t>
        </is>
      </c>
      <c r="G32" s="5" t="inlineStr">
        <is>
          <t>Capacitor_SMD:C_1210_3225Metric</t>
        </is>
      </c>
      <c r="H32" s="7" t="inlineStr">
        <is>
          <t>TBD</t>
        </is>
      </c>
      <c r="I32" s="7" t="inlineStr">
        <is>
          <t>TBD</t>
        </is>
      </c>
      <c r="J32" s="5" t="inlineStr">
        <is>
          <t>Capacitors</t>
        </is>
      </c>
      <c r="K32" s="5" t="inlineStr">
        <is>
          <t>Ceramic Capacitors</t>
        </is>
      </c>
      <c r="L32" s="5" t="inlineStr">
        <is>
          <t>Surface Mount</t>
        </is>
      </c>
      <c r="M32" s="7" t="inlineStr">
        <is>
          <t>TBD</t>
        </is>
      </c>
      <c r="N32" s="7" t="inlineStr">
        <is>
          <t>TBD</t>
        </is>
      </c>
      <c r="O32" s="5" t="inlineStr"/>
      <c r="P32" s="5" t="inlineStr">
        <is>
          <t>USB_PD_CONTROLLER</t>
        </is>
      </c>
      <c r="Q32" s="5">
        <f>IF(O32="EVET","DNP",IF(I32="N/A","SATIN ALINMAZ",IF(I32="TBD","MPN GEREKLİ","SEÇİLDİ")))</f>
        <v/>
      </c>
      <c r="R32" s="7" t="inlineStr">
        <is>
          <t>TBD</t>
        </is>
      </c>
      <c r="S32" s="6" t="inlineStr">
        <is>
          <t>X7R; C12+C13 efektif kapasite 28V'ta &gt;=10uF olmali, MPN dogrulanacak.</t>
        </is>
      </c>
    </row>
    <row r="33">
      <c r="A33" s="5" t="n">
        <v>32</v>
      </c>
      <c r="B33" s="5">
        <f>IF(C33="",0,LEN(C33)-LEN(SUBSTITUTE(C33,",",""))+1)</f>
        <v/>
      </c>
      <c r="C33" s="6" t="inlineStr">
        <is>
          <t>C25, C27, C28</t>
        </is>
      </c>
      <c r="D33" s="5" t="inlineStr">
        <is>
          <t>10u</t>
        </is>
      </c>
      <c r="E33" s="8" t="inlineStr">
        <is>
          <t>TBD</t>
        </is>
      </c>
      <c r="F33" s="5" t="inlineStr">
        <is>
          <t>1210 (3225 Metric)</t>
        </is>
      </c>
      <c r="G33" s="5" t="inlineStr">
        <is>
          <t>Capacitor_SMD:C_1210_3225Metric</t>
        </is>
      </c>
      <c r="H33" s="7" t="inlineStr">
        <is>
          <t>TBD</t>
        </is>
      </c>
      <c r="I33" s="7" t="inlineStr">
        <is>
          <t>TBD</t>
        </is>
      </c>
      <c r="J33" s="5" t="inlineStr">
        <is>
          <t>Capacitors</t>
        </is>
      </c>
      <c r="K33" s="5" t="inlineStr">
        <is>
          <t>Ceramic Capacitors</t>
        </is>
      </c>
      <c r="L33" s="5" t="inlineStr">
        <is>
          <t>Surface Mount</t>
        </is>
      </c>
      <c r="M33" s="7" t="inlineStr">
        <is>
          <t>TBD</t>
        </is>
      </c>
      <c r="N33" s="7" t="inlineStr">
        <is>
          <t>TBD</t>
        </is>
      </c>
      <c r="O33" s="5" t="inlineStr"/>
      <c r="P33" s="5" t="inlineStr">
        <is>
          <t>USB_PD_CONTROLLER</t>
        </is>
      </c>
      <c r="Q33" s="5">
        <f>IF(O33="EVET","DNP",IF(I33="N/A","SATIN ALINMAZ",IF(I33="TBD","MPN GEREKLİ","SEÇİLDİ")))</f>
        <v/>
      </c>
      <c r="R33" s="5" t="inlineStr">
        <is>
          <t>~</t>
        </is>
      </c>
      <c r="S33" s="8" t="inlineStr">
        <is>
          <t>TBD</t>
        </is>
      </c>
    </row>
    <row r="34">
      <c r="A34" s="5" t="n">
        <v>33</v>
      </c>
      <c r="B34" s="5">
        <f>IF(C34="",0,LEN(C34)-LEN(SUBSTITUTE(C34,",",""))+1)</f>
        <v/>
      </c>
      <c r="C34" s="6" t="inlineStr">
        <is>
          <t>C19</t>
        </is>
      </c>
      <c r="D34" s="5" t="inlineStr">
        <is>
          <t>18n</t>
        </is>
      </c>
      <c r="E34" s="8" t="inlineStr">
        <is>
          <t>TBD</t>
        </is>
      </c>
      <c r="F34" s="5" t="inlineStr">
        <is>
          <t>0402 (1005 Metric)</t>
        </is>
      </c>
      <c r="G34" s="5" t="inlineStr">
        <is>
          <t>Capacitor_SMD:C_0402_1005Metric</t>
        </is>
      </c>
      <c r="H34" s="7" t="inlineStr">
        <is>
          <t>TBD</t>
        </is>
      </c>
      <c r="I34" s="7" t="inlineStr">
        <is>
          <t>TBD</t>
        </is>
      </c>
      <c r="J34" s="5" t="inlineStr">
        <is>
          <t>Capacitors</t>
        </is>
      </c>
      <c r="K34" s="5" t="inlineStr">
        <is>
          <t>Ceramic Capacitors</t>
        </is>
      </c>
      <c r="L34" s="5" t="inlineStr">
        <is>
          <t>Surface Mount</t>
        </is>
      </c>
      <c r="M34" s="7" t="inlineStr">
        <is>
          <t>TBD</t>
        </is>
      </c>
      <c r="N34" s="7" t="inlineStr">
        <is>
          <t>TBD</t>
        </is>
      </c>
      <c r="O34" s="5" t="inlineStr"/>
      <c r="P34" s="5" t="inlineStr">
        <is>
          <t>USB_PD_CONTROLLER</t>
        </is>
      </c>
      <c r="Q34" s="5">
        <f>IF(O34="EVET","DNP",IF(I34="N/A","SATIN ALINMAZ",IF(I34="TBD","MPN GEREKLİ","SEÇİLDİ")))</f>
        <v/>
      </c>
      <c r="R34" s="7" t="inlineStr">
        <is>
          <t>TBD</t>
        </is>
      </c>
      <c r="S34" s="8" t="inlineStr">
        <is>
          <t>TBD</t>
        </is>
      </c>
    </row>
    <row r="35">
      <c r="A35" s="5" t="n">
        <v>34</v>
      </c>
      <c r="B35" s="5">
        <f>IF(C35="",0,LEN(C35)-LEN(SUBSTITUTE(C35,",",""))+1)</f>
        <v/>
      </c>
      <c r="C35" s="6" t="inlineStr">
        <is>
          <t>C4</t>
        </is>
      </c>
      <c r="D35" s="5" t="inlineStr">
        <is>
          <t>1u0</t>
        </is>
      </c>
      <c r="E35" s="6" t="inlineStr">
        <is>
          <t>Unpolarized capacitor</t>
        </is>
      </c>
      <c r="F35" s="5" t="inlineStr">
        <is>
          <t>0402 (1005 Metric)</t>
        </is>
      </c>
      <c r="G35" s="5" t="inlineStr">
        <is>
          <t>Capacitor_SMD:C_0402_1005Metric</t>
        </is>
      </c>
      <c r="H35" s="7" t="inlineStr">
        <is>
          <t>TBD</t>
        </is>
      </c>
      <c r="I35" s="7" t="inlineStr">
        <is>
          <t>TBD</t>
        </is>
      </c>
      <c r="J35" s="5" t="inlineStr">
        <is>
          <t>Capacitors</t>
        </is>
      </c>
      <c r="K35" s="5" t="inlineStr">
        <is>
          <t>Ceramic Capacitors</t>
        </is>
      </c>
      <c r="L35" s="5" t="inlineStr">
        <is>
          <t>Surface Mount</t>
        </is>
      </c>
      <c r="M35" s="7" t="inlineStr">
        <is>
          <t>TBD</t>
        </is>
      </c>
      <c r="N35" s="7" t="inlineStr">
        <is>
          <t>TBD</t>
        </is>
      </c>
      <c r="O35" s="5" t="inlineStr"/>
      <c r="P35" s="5" t="inlineStr">
        <is>
          <t>USB_PD_CONTROLLER</t>
        </is>
      </c>
      <c r="Q35" s="5">
        <f>IF(O35="EVET","DNP",IF(I35="N/A","SATIN ALINMAZ",IF(I35="TBD","MPN GEREKLİ","SEÇİLDİ")))</f>
        <v/>
      </c>
      <c r="R35" s="7" t="inlineStr">
        <is>
          <t>TBD</t>
        </is>
      </c>
      <c r="S35" s="8" t="inlineStr">
        <is>
          <t>TBD</t>
        </is>
      </c>
    </row>
    <row r="36">
      <c r="A36" s="5" t="n">
        <v>35</v>
      </c>
      <c r="B36" s="5">
        <f>IF(C36="",0,LEN(C36)-LEN(SUBSTITUTE(C36,",",""))+1)</f>
        <v/>
      </c>
      <c r="C36" s="6" t="inlineStr">
        <is>
          <t>C7</t>
        </is>
      </c>
      <c r="D36" s="5" t="inlineStr">
        <is>
          <t>1u0</t>
        </is>
      </c>
      <c r="E36" s="6" t="inlineStr">
        <is>
          <t>Unpolarized capacitor</t>
        </is>
      </c>
      <c r="F36" s="5" t="inlineStr">
        <is>
          <t>0402 (1005 Metric)</t>
        </is>
      </c>
      <c r="G36" s="5" t="inlineStr">
        <is>
          <t>Capacitor_SMD:C_0402_1005Metric</t>
        </is>
      </c>
      <c r="H36" s="7" t="inlineStr">
        <is>
          <t>TBD</t>
        </is>
      </c>
      <c r="I36" s="7" t="inlineStr">
        <is>
          <t>TBD</t>
        </is>
      </c>
      <c r="J36" s="5" t="inlineStr">
        <is>
          <t>Capacitors</t>
        </is>
      </c>
      <c r="K36" s="5" t="inlineStr">
        <is>
          <t>Ceramic Capacitors</t>
        </is>
      </c>
      <c r="L36" s="5" t="inlineStr">
        <is>
          <t>Surface Mount</t>
        </is>
      </c>
      <c r="M36" s="7" t="inlineStr">
        <is>
          <t>TBD</t>
        </is>
      </c>
      <c r="N36" s="7" t="inlineStr">
        <is>
          <t>TBD</t>
        </is>
      </c>
      <c r="O36" s="5" t="inlineStr"/>
      <c r="P36" s="5" t="inlineStr">
        <is>
          <t>MCU</t>
        </is>
      </c>
      <c r="Q36" s="5">
        <f>IF(O36="EVET","DNP",IF(I36="N/A","SATIN ALINMAZ",IF(I36="TBD","MPN GEREKLİ","SEÇİLDİ")))</f>
        <v/>
      </c>
      <c r="R36" s="7" t="inlineStr">
        <is>
          <t>TBD</t>
        </is>
      </c>
      <c r="S36" s="8" t="inlineStr">
        <is>
          <t>TBD</t>
        </is>
      </c>
    </row>
    <row r="37">
      <c r="A37" s="5" t="n">
        <v>36</v>
      </c>
      <c r="B37" s="5">
        <f>IF(C37="",0,LEN(C37)-LEN(SUBSTITUTE(C37,",",""))+1)</f>
        <v/>
      </c>
      <c r="C37" s="6" t="inlineStr">
        <is>
          <t>C31</t>
        </is>
      </c>
      <c r="D37" s="5" t="inlineStr">
        <is>
          <t>220n</t>
        </is>
      </c>
      <c r="E37" s="8" t="inlineStr">
        <is>
          <t>TBD</t>
        </is>
      </c>
      <c r="F37" s="5" t="inlineStr">
        <is>
          <t>0402 (1005 Metric)</t>
        </is>
      </c>
      <c r="G37" s="5" t="inlineStr">
        <is>
          <t>Capacitor_SMD:C_0402_1005Metric</t>
        </is>
      </c>
      <c r="H37" s="7" t="inlineStr">
        <is>
          <t>TBD</t>
        </is>
      </c>
      <c r="I37" s="7" t="inlineStr">
        <is>
          <t>TBD</t>
        </is>
      </c>
      <c r="J37" s="5" t="inlineStr">
        <is>
          <t>Capacitors</t>
        </is>
      </c>
      <c r="K37" s="5" t="inlineStr">
        <is>
          <t>Ceramic Capacitors</t>
        </is>
      </c>
      <c r="L37" s="5" t="inlineStr">
        <is>
          <t>Surface Mount</t>
        </is>
      </c>
      <c r="M37" s="7" t="inlineStr">
        <is>
          <t>TBD</t>
        </is>
      </c>
      <c r="N37" s="7" t="inlineStr">
        <is>
          <t>TBD</t>
        </is>
      </c>
      <c r="O37" s="5" t="inlineStr"/>
      <c r="P37" s="5" t="inlineStr">
        <is>
          <t>USB_PD_CONTROLLER</t>
        </is>
      </c>
      <c r="Q37" s="5">
        <f>IF(O37="EVET","DNP",IF(I37="N/A","SATIN ALINMAZ",IF(I37="TBD","MPN GEREKLİ","SEÇİLDİ")))</f>
        <v/>
      </c>
      <c r="R37" s="5" t="inlineStr">
        <is>
          <t>~</t>
        </is>
      </c>
      <c r="S37" s="8" t="inlineStr">
        <is>
          <t>TBD</t>
        </is>
      </c>
    </row>
    <row r="38">
      <c r="A38" s="5" t="n">
        <v>37</v>
      </c>
      <c r="B38" s="5">
        <f>IF(C38="",0,LEN(C38)-LEN(SUBSTITUTE(C38,",",""))+1)</f>
        <v/>
      </c>
      <c r="C38" s="6" t="inlineStr">
        <is>
          <t>C30</t>
        </is>
      </c>
      <c r="D38" s="5" t="inlineStr">
        <is>
          <t>22n</t>
        </is>
      </c>
      <c r="E38" s="8" t="inlineStr">
        <is>
          <t>TBD</t>
        </is>
      </c>
      <c r="F38" s="5" t="inlineStr">
        <is>
          <t>0402 (1005 Metric)</t>
        </is>
      </c>
      <c r="G38" s="5" t="inlineStr">
        <is>
          <t>Capacitor_SMD:C_0402_1005Metric</t>
        </is>
      </c>
      <c r="H38" s="7" t="inlineStr">
        <is>
          <t>TBD</t>
        </is>
      </c>
      <c r="I38" s="7" t="inlineStr">
        <is>
          <t>TBD</t>
        </is>
      </c>
      <c r="J38" s="5" t="inlineStr">
        <is>
          <t>Capacitors</t>
        </is>
      </c>
      <c r="K38" s="5" t="inlineStr">
        <is>
          <t>Ceramic Capacitors</t>
        </is>
      </c>
      <c r="L38" s="5" t="inlineStr">
        <is>
          <t>Surface Mount</t>
        </is>
      </c>
      <c r="M38" s="7" t="inlineStr">
        <is>
          <t>TBD</t>
        </is>
      </c>
      <c r="N38" s="7" t="inlineStr">
        <is>
          <t>TBD</t>
        </is>
      </c>
      <c r="O38" s="5" t="inlineStr"/>
      <c r="P38" s="5" t="inlineStr">
        <is>
          <t>USB_PD_CONTROLLER</t>
        </is>
      </c>
      <c r="Q38" s="5">
        <f>IF(O38="EVET","DNP",IF(I38="N/A","SATIN ALINMAZ",IF(I38="TBD","MPN GEREKLİ","SEÇİLDİ")))</f>
        <v/>
      </c>
      <c r="R38" s="5" t="inlineStr">
        <is>
          <t>~</t>
        </is>
      </c>
      <c r="S38" s="8" t="inlineStr">
        <is>
          <t>TBD</t>
        </is>
      </c>
    </row>
    <row r="39">
      <c r="A39" s="5" t="n">
        <v>38</v>
      </c>
      <c r="B39" s="5">
        <f>IF(C39="",0,LEN(C39)-LEN(SUBSTITUTE(C39,",",""))+1)</f>
        <v/>
      </c>
      <c r="C39" s="6" t="inlineStr">
        <is>
          <t>C5</t>
        </is>
      </c>
      <c r="D39" s="5" t="inlineStr">
        <is>
          <t>22u</t>
        </is>
      </c>
      <c r="E39" s="6" t="inlineStr">
        <is>
          <t>Unpolarized capacitor</t>
        </is>
      </c>
      <c r="F39" s="5" t="inlineStr">
        <is>
          <t>0402 (1005 Metric)</t>
        </is>
      </c>
      <c r="G39" s="5" t="inlineStr">
        <is>
          <t>Capacitor_SMD:C_0402_1005Metric</t>
        </is>
      </c>
      <c r="H39" s="7" t="inlineStr">
        <is>
          <t>TBD</t>
        </is>
      </c>
      <c r="I39" s="7" t="inlineStr">
        <is>
          <t>TBD</t>
        </is>
      </c>
      <c r="J39" s="5" t="inlineStr">
        <is>
          <t>Capacitors</t>
        </is>
      </c>
      <c r="K39" s="5" t="inlineStr">
        <is>
          <t>Ceramic Capacitors</t>
        </is>
      </c>
      <c r="L39" s="5" t="inlineStr">
        <is>
          <t>Surface Mount</t>
        </is>
      </c>
      <c r="M39" s="7" t="inlineStr">
        <is>
          <t>TBD</t>
        </is>
      </c>
      <c r="N39" s="7" t="inlineStr">
        <is>
          <t>TBD</t>
        </is>
      </c>
      <c r="O39" s="5" t="inlineStr"/>
      <c r="P39" s="5" t="inlineStr">
        <is>
          <t>MCU</t>
        </is>
      </c>
      <c r="Q39" s="5">
        <f>IF(O39="EVET","DNP",IF(I39="N/A","SATIN ALINMAZ",IF(I39="TBD","MPN GEREKLİ","SEÇİLDİ")))</f>
        <v/>
      </c>
      <c r="R39" s="7" t="inlineStr">
        <is>
          <t>TBD</t>
        </is>
      </c>
      <c r="S39" s="8" t="inlineStr">
        <is>
          <t>TBD</t>
        </is>
      </c>
    </row>
    <row r="40">
      <c r="A40" s="5" t="n">
        <v>39</v>
      </c>
      <c r="B40" s="5">
        <f>IF(C40="",0,LEN(C40)-LEN(SUBSTITUTE(C40,",",""))+1)</f>
        <v/>
      </c>
      <c r="C40" s="6" t="inlineStr">
        <is>
          <t>C20, C21</t>
        </is>
      </c>
      <c r="D40" s="5" t="inlineStr">
        <is>
          <t>22u</t>
        </is>
      </c>
      <c r="E40" s="8" t="inlineStr">
        <is>
          <t>TBD</t>
        </is>
      </c>
      <c r="F40" s="5" t="inlineStr">
        <is>
          <t>0402 (1005 Metric)</t>
        </is>
      </c>
      <c r="G40" s="5" t="inlineStr">
        <is>
          <t>Capacitor_SMD:C_0402_1005Metric</t>
        </is>
      </c>
      <c r="H40" s="7" t="inlineStr">
        <is>
          <t>TBD</t>
        </is>
      </c>
      <c r="I40" s="7" t="inlineStr">
        <is>
          <t>TBD</t>
        </is>
      </c>
      <c r="J40" s="5" t="inlineStr">
        <is>
          <t>Capacitors</t>
        </is>
      </c>
      <c r="K40" s="5" t="inlineStr">
        <is>
          <t>Ceramic Capacitors</t>
        </is>
      </c>
      <c r="L40" s="5" t="inlineStr">
        <is>
          <t>Surface Mount</t>
        </is>
      </c>
      <c r="M40" s="7" t="inlineStr">
        <is>
          <t>TBD</t>
        </is>
      </c>
      <c r="N40" s="7" t="inlineStr">
        <is>
          <t>TBD</t>
        </is>
      </c>
      <c r="O40" s="5" t="inlineStr"/>
      <c r="P40" s="5" t="inlineStr">
        <is>
          <t>USER INTERFACE</t>
        </is>
      </c>
      <c r="Q40" s="5">
        <f>IF(O40="EVET","DNP",IF(I40="N/A","SATIN ALINMAZ",IF(I40="TBD","MPN GEREKLİ","SEÇİLDİ")))</f>
        <v/>
      </c>
      <c r="R40" s="7" t="inlineStr">
        <is>
          <t>TBD</t>
        </is>
      </c>
      <c r="S40" s="6" t="inlineStr">
        <is>
          <t>X7R.</t>
        </is>
      </c>
    </row>
    <row r="41">
      <c r="A41" s="5" t="n">
        <v>40</v>
      </c>
      <c r="B41" s="5">
        <f>IF(C41="",0,LEN(C41)-LEN(SUBSTITUTE(C41,",",""))+1)</f>
        <v/>
      </c>
      <c r="C41" s="6" t="inlineStr">
        <is>
          <t>C3</t>
        </is>
      </c>
      <c r="D41" s="5" t="inlineStr">
        <is>
          <t>2u2</t>
        </is>
      </c>
      <c r="E41" s="6" t="inlineStr">
        <is>
          <t>Unpolarized capacitor</t>
        </is>
      </c>
      <c r="F41" s="5" t="inlineStr">
        <is>
          <t>0805 (2012 Metric)</t>
        </is>
      </c>
      <c r="G41" s="5" t="inlineStr">
        <is>
          <t>Capacitor_SMD:C_0805_2012Metric</t>
        </is>
      </c>
      <c r="H41" s="7" t="inlineStr">
        <is>
          <t>TBD</t>
        </is>
      </c>
      <c r="I41" s="7" t="inlineStr">
        <is>
          <t>TBD</t>
        </is>
      </c>
      <c r="J41" s="5" t="inlineStr">
        <is>
          <t>Capacitors</t>
        </is>
      </c>
      <c r="K41" s="5" t="inlineStr">
        <is>
          <t>Ceramic Capacitors</t>
        </is>
      </c>
      <c r="L41" s="5" t="inlineStr">
        <is>
          <t>Surface Mount</t>
        </is>
      </c>
      <c r="M41" s="7" t="inlineStr">
        <is>
          <t>TBD</t>
        </is>
      </c>
      <c r="N41" s="7" t="inlineStr">
        <is>
          <t>TBD</t>
        </is>
      </c>
      <c r="O41" s="5" t="inlineStr"/>
      <c r="P41" s="5" t="inlineStr">
        <is>
          <t>USB_PD_CONTROLLER</t>
        </is>
      </c>
      <c r="Q41" s="5">
        <f>IF(O41="EVET","DNP",IF(I41="N/A","SATIN ALINMAZ",IF(I41="TBD","MPN GEREKLİ","SEÇİLDİ")))</f>
        <v/>
      </c>
      <c r="R41" s="7" t="inlineStr">
        <is>
          <t>TBD</t>
        </is>
      </c>
      <c r="S41" s="8" t="inlineStr">
        <is>
          <t>TBD</t>
        </is>
      </c>
    </row>
    <row r="42">
      <c r="A42" s="5" t="n">
        <v>41</v>
      </c>
      <c r="B42" s="5">
        <f>IF(C42="",0,LEN(C42)-LEN(SUBSTITUTE(C42,",",""))+1)</f>
        <v/>
      </c>
      <c r="C42" s="6" t="inlineStr">
        <is>
          <t>C23</t>
        </is>
      </c>
      <c r="D42" s="5" t="inlineStr">
        <is>
          <t>47n</t>
        </is>
      </c>
      <c r="E42" s="8" t="inlineStr">
        <is>
          <t>TBD</t>
        </is>
      </c>
      <c r="F42" s="5" t="inlineStr">
        <is>
          <t>0402 (1005 Metric)</t>
        </is>
      </c>
      <c r="G42" s="5" t="inlineStr">
        <is>
          <t>Capacitor_SMD:C_0402_1005Metric</t>
        </is>
      </c>
      <c r="H42" s="7" t="inlineStr">
        <is>
          <t>TBD</t>
        </is>
      </c>
      <c r="I42" s="7" t="inlineStr">
        <is>
          <t>TBD</t>
        </is>
      </c>
      <c r="J42" s="5" t="inlineStr">
        <is>
          <t>Capacitors</t>
        </is>
      </c>
      <c r="K42" s="5" t="inlineStr">
        <is>
          <t>Ceramic Capacitors</t>
        </is>
      </c>
      <c r="L42" s="5" t="inlineStr">
        <is>
          <t>Surface Mount</t>
        </is>
      </c>
      <c r="M42" s="7" t="inlineStr">
        <is>
          <t>TBD</t>
        </is>
      </c>
      <c r="N42" s="7" t="inlineStr">
        <is>
          <t>TBD</t>
        </is>
      </c>
      <c r="O42" s="5" t="inlineStr"/>
      <c r="P42" s="5" t="inlineStr">
        <is>
          <t>USB_PD_CONTROLLER</t>
        </is>
      </c>
      <c r="Q42" s="5">
        <f>IF(O42="EVET","DNP",IF(I42="N/A","SATIN ALINMAZ",IF(I42="TBD","MPN GEREKLİ","SEÇİLDİ")))</f>
        <v/>
      </c>
      <c r="R42" s="5" t="inlineStr">
        <is>
          <t>~</t>
        </is>
      </c>
      <c r="S42" s="8" t="inlineStr">
        <is>
          <t>TBD</t>
        </is>
      </c>
    </row>
    <row r="43">
      <c r="A43" s="5" t="n">
        <v>42</v>
      </c>
      <c r="B43" s="5">
        <f>IF(C43="",0,LEN(C43)-LEN(SUBSTITUTE(C43,",",""))+1)</f>
        <v/>
      </c>
      <c r="C43" s="6" t="inlineStr">
        <is>
          <t>C15</t>
        </is>
      </c>
      <c r="D43" s="5" t="inlineStr">
        <is>
          <t>47u</t>
        </is>
      </c>
      <c r="E43" s="8" t="inlineStr">
        <is>
          <t>TBD</t>
        </is>
      </c>
      <c r="F43" s="5" t="inlineStr">
        <is>
          <t>0402 (1005 Metric)</t>
        </is>
      </c>
      <c r="G43" s="5" t="inlineStr">
        <is>
          <t>Capacitor_SMD:C_0402_1005Metric</t>
        </is>
      </c>
      <c r="H43" s="7" t="inlineStr">
        <is>
          <t>TBD</t>
        </is>
      </c>
      <c r="I43" s="7" t="inlineStr">
        <is>
          <t>TBD</t>
        </is>
      </c>
      <c r="J43" s="5" t="inlineStr">
        <is>
          <t>Capacitors</t>
        </is>
      </c>
      <c r="K43" s="5" t="inlineStr">
        <is>
          <t>Ceramic Capacitors</t>
        </is>
      </c>
      <c r="L43" s="5" t="inlineStr">
        <is>
          <t>Surface Mount</t>
        </is>
      </c>
      <c r="M43" s="7" t="inlineStr">
        <is>
          <t>TBD</t>
        </is>
      </c>
      <c r="N43" s="7" t="inlineStr">
        <is>
          <t>TBD</t>
        </is>
      </c>
      <c r="O43" s="5" t="inlineStr"/>
      <c r="P43" s="5" t="inlineStr">
        <is>
          <t>USB_PD_CONTROLLER</t>
        </is>
      </c>
      <c r="Q43" s="5">
        <f>IF(O43="EVET","DNP",IF(I43="N/A","SATIN ALINMAZ",IF(I43="TBD","MPN GEREKLİ","SEÇİLDİ")))</f>
        <v/>
      </c>
      <c r="R43" s="7" t="inlineStr">
        <is>
          <t>TBD</t>
        </is>
      </c>
      <c r="S43" s="6" t="inlineStr">
        <is>
          <t>X7R; banka efektif Cout 3.3V'ta &gt;=44uF olmali, MPN dogrulanacak.</t>
        </is>
      </c>
    </row>
    <row r="44">
      <c r="A44" s="5" t="n">
        <v>43</v>
      </c>
      <c r="B44" s="5">
        <f>IF(C44="",0,LEN(C44)-LEN(SUBSTITUTE(C44,",",""))+1)</f>
        <v/>
      </c>
      <c r="C44" s="6" t="inlineStr">
        <is>
          <t>C16</t>
        </is>
      </c>
      <c r="D44" s="5" t="inlineStr">
        <is>
          <t>47u</t>
        </is>
      </c>
      <c r="E44" s="8" t="inlineStr">
        <is>
          <t>TBD</t>
        </is>
      </c>
      <c r="F44" s="5" t="inlineStr">
        <is>
          <t>1210 (3225 Metric)</t>
        </is>
      </c>
      <c r="G44" s="5" t="inlineStr">
        <is>
          <t>Capacitor_SMD:C_1210_3225Metric</t>
        </is>
      </c>
      <c r="H44" s="7" t="inlineStr">
        <is>
          <t>TBD</t>
        </is>
      </c>
      <c r="I44" s="7" t="inlineStr">
        <is>
          <t>TBD</t>
        </is>
      </c>
      <c r="J44" s="5" t="inlineStr">
        <is>
          <t>Capacitors</t>
        </is>
      </c>
      <c r="K44" s="5" t="inlineStr">
        <is>
          <t>Ceramic Capacitors</t>
        </is>
      </c>
      <c r="L44" s="5" t="inlineStr">
        <is>
          <t>Surface Mount</t>
        </is>
      </c>
      <c r="M44" s="7" t="inlineStr">
        <is>
          <t>TBD</t>
        </is>
      </c>
      <c r="N44" s="7" t="inlineStr">
        <is>
          <t>TBD</t>
        </is>
      </c>
      <c r="O44" s="5" t="inlineStr"/>
      <c r="P44" s="5" t="inlineStr">
        <is>
          <t>USB_PD_CONTROLLER</t>
        </is>
      </c>
      <c r="Q44" s="5">
        <f>IF(O44="EVET","DNP",IF(I44="N/A","SATIN ALINMAZ",IF(I44="TBD","MPN GEREKLİ","SEÇİLDİ")))</f>
        <v/>
      </c>
      <c r="R44" s="7" t="inlineStr">
        <is>
          <t>TBD</t>
        </is>
      </c>
      <c r="S44" s="6" t="inlineStr">
        <is>
          <t>X7R; banka efektif Cout 3.3V'ta &gt;=44uF olmali, MPN dogrulanacak.</t>
        </is>
      </c>
    </row>
    <row r="45">
      <c r="A45" s="5" t="n">
        <v>44</v>
      </c>
      <c r="B45" s="5">
        <f>IF(C45="",0,LEN(C45)-LEN(SUBSTITUTE(C45,",",""))+1)</f>
        <v/>
      </c>
      <c r="C45" s="6" t="inlineStr">
        <is>
          <t>C29</t>
        </is>
      </c>
      <c r="D45" s="5" t="inlineStr">
        <is>
          <t>47u</t>
        </is>
      </c>
      <c r="E45" s="8" t="inlineStr">
        <is>
          <t>TBD</t>
        </is>
      </c>
      <c r="F45" s="5" t="inlineStr">
        <is>
          <t>1210 (3225 Metric)</t>
        </is>
      </c>
      <c r="G45" s="5" t="inlineStr">
        <is>
          <t>Capacitor_SMD:C_1210_3225Metric</t>
        </is>
      </c>
      <c r="H45" s="7" t="inlineStr">
        <is>
          <t>TBD</t>
        </is>
      </c>
      <c r="I45" s="7" t="inlineStr">
        <is>
          <t>TBD</t>
        </is>
      </c>
      <c r="J45" s="5" t="inlineStr">
        <is>
          <t>Capacitors</t>
        </is>
      </c>
      <c r="K45" s="5" t="inlineStr">
        <is>
          <t>Ceramic Capacitors</t>
        </is>
      </c>
      <c r="L45" s="5" t="inlineStr">
        <is>
          <t>Surface Mount</t>
        </is>
      </c>
      <c r="M45" s="7" t="inlineStr">
        <is>
          <t>TBD</t>
        </is>
      </c>
      <c r="N45" s="7" t="inlineStr">
        <is>
          <t>TBD</t>
        </is>
      </c>
      <c r="O45" s="5" t="inlineStr"/>
      <c r="P45" s="5" t="inlineStr">
        <is>
          <t>USB_PD_CONTROLLER</t>
        </is>
      </c>
      <c r="Q45" s="5">
        <f>IF(O45="EVET","DNP",IF(I45="N/A","SATIN ALINMAZ",IF(I45="TBD","MPN GEREKLİ","SEÇİLDİ")))</f>
        <v/>
      </c>
      <c r="R45" s="5" t="inlineStr">
        <is>
          <t>~</t>
        </is>
      </c>
      <c r="S45" s="8" t="inlineStr">
        <is>
          <t>TBD</t>
        </is>
      </c>
    </row>
    <row r="46">
      <c r="A46" s="5" t="n">
        <v>45</v>
      </c>
      <c r="B46" s="5">
        <f>IF(C46="",0,LEN(C46)-LEN(SUBSTITUTE(C46,",",""))+1)</f>
        <v/>
      </c>
      <c r="C46" s="6" t="inlineStr">
        <is>
          <t>R13, R28</t>
        </is>
      </c>
      <c r="D46" s="5" t="inlineStr">
        <is>
          <t>100R</t>
        </is>
      </c>
      <c r="E46" s="6" t="inlineStr">
        <is>
          <t>Resistor</t>
        </is>
      </c>
      <c r="F46" s="5" t="inlineStr">
        <is>
          <t>0402 (1005 Metric)</t>
        </is>
      </c>
      <c r="G46" s="5" t="inlineStr">
        <is>
          <t>Resistor_SMD:R_0402_1005Metric</t>
        </is>
      </c>
      <c r="H46" s="7" t="inlineStr">
        <is>
          <t>TBD</t>
        </is>
      </c>
      <c r="I46" s="7" t="inlineStr">
        <is>
          <t>TBD</t>
        </is>
      </c>
      <c r="J46" s="5" t="inlineStr">
        <is>
          <t>Resistors</t>
        </is>
      </c>
      <c r="K46" s="5" t="inlineStr">
        <is>
          <t>Chip Resistor - Surface Mount</t>
        </is>
      </c>
      <c r="L46" s="5" t="inlineStr">
        <is>
          <t>Surface Mount</t>
        </is>
      </c>
      <c r="M46" s="7" t="inlineStr">
        <is>
          <t>TBD</t>
        </is>
      </c>
      <c r="N46" s="7" t="inlineStr">
        <is>
          <t>TBD</t>
        </is>
      </c>
      <c r="O46" s="5" t="inlineStr"/>
      <c r="P46" s="5" t="inlineStr">
        <is>
          <t>USB_PD_CONTROLLER, USER INTERFACE</t>
        </is>
      </c>
      <c r="Q46" s="5">
        <f>IF(O46="EVET","DNP",IF(I46="N/A","SATIN ALINMAZ",IF(I46="TBD","MPN GEREKLİ","SEÇİLDİ")))</f>
        <v/>
      </c>
      <c r="R46" s="7" t="inlineStr">
        <is>
          <t>TBD</t>
        </is>
      </c>
      <c r="S46" s="8" t="inlineStr">
        <is>
          <t>TBD</t>
        </is>
      </c>
    </row>
    <row r="47">
      <c r="A47" s="5" t="n">
        <v>46</v>
      </c>
      <c r="B47" s="5">
        <f>IF(C47="",0,LEN(C47)-LEN(SUBSTITUTE(C47,",",""))+1)</f>
        <v/>
      </c>
      <c r="C47" s="6" t="inlineStr">
        <is>
          <t>R38</t>
        </is>
      </c>
      <c r="D47" s="5" t="inlineStr">
        <is>
          <t>100k</t>
        </is>
      </c>
      <c r="E47" s="8" t="inlineStr">
        <is>
          <t>TBD</t>
        </is>
      </c>
      <c r="F47" s="5" t="inlineStr">
        <is>
          <t>0402 (1005 Metric)</t>
        </is>
      </c>
      <c r="G47" s="5" t="inlineStr">
        <is>
          <t>Resistor_SMD:R_0402_1005Metric</t>
        </is>
      </c>
      <c r="H47" s="7" t="inlineStr">
        <is>
          <t>TBD</t>
        </is>
      </c>
      <c r="I47" s="7" t="inlineStr">
        <is>
          <t>TBD</t>
        </is>
      </c>
      <c r="J47" s="5" t="inlineStr">
        <is>
          <t>Resistors</t>
        </is>
      </c>
      <c r="K47" s="5" t="inlineStr">
        <is>
          <t>Chip Resistor - Surface Mount</t>
        </is>
      </c>
      <c r="L47" s="5" t="inlineStr">
        <is>
          <t>Surface Mount</t>
        </is>
      </c>
      <c r="M47" s="7" t="inlineStr">
        <is>
          <t>TBD</t>
        </is>
      </c>
      <c r="N47" s="7" t="inlineStr">
        <is>
          <t>TBD</t>
        </is>
      </c>
      <c r="O47" s="5" t="inlineStr"/>
      <c r="P47" s="5" t="inlineStr">
        <is>
          <t>USB_PD_CONTROLLER</t>
        </is>
      </c>
      <c r="Q47" s="5">
        <f>IF(O47="EVET","DNP",IF(I47="N/A","SATIN ALINMAZ",IF(I47="TBD","MPN GEREKLİ","SEÇİLDİ")))</f>
        <v/>
      </c>
      <c r="R47" s="7" t="inlineStr">
        <is>
          <t>TBD</t>
        </is>
      </c>
      <c r="S47" s="8" t="inlineStr">
        <is>
          <t>TBD</t>
        </is>
      </c>
    </row>
    <row r="48">
      <c r="A48" s="9" t="n">
        <v>47</v>
      </c>
      <c r="B48" s="9">
        <f>IF(C48="",0,LEN(C48)-LEN(SUBSTITUTE(C48,",",""))+1)</f>
        <v/>
      </c>
      <c r="C48" s="10" t="inlineStr">
        <is>
          <t>R21</t>
        </is>
      </c>
      <c r="D48" s="9" t="inlineStr">
        <is>
          <t>100k</t>
        </is>
      </c>
      <c r="E48" s="10" t="inlineStr">
        <is>
          <t>Resistor</t>
        </is>
      </c>
      <c r="F48" s="9" t="inlineStr">
        <is>
          <t>0402 (1005 Metric)</t>
        </is>
      </c>
      <c r="G48" s="9" t="inlineStr">
        <is>
          <t>Resistor_SMD:R_0402_1005Metric</t>
        </is>
      </c>
      <c r="H48" s="9" t="inlineStr">
        <is>
          <t>TBD</t>
        </is>
      </c>
      <c r="I48" s="9" t="inlineStr">
        <is>
          <t>TBD</t>
        </is>
      </c>
      <c r="J48" s="9" t="inlineStr">
        <is>
          <t>Resistors</t>
        </is>
      </c>
      <c r="K48" s="9" t="inlineStr">
        <is>
          <t>Chip Resistor - Surface Mount</t>
        </is>
      </c>
      <c r="L48" s="9" t="inlineStr">
        <is>
          <t>Surface Mount</t>
        </is>
      </c>
      <c r="M48" s="9" t="inlineStr">
        <is>
          <t>TBD</t>
        </is>
      </c>
      <c r="N48" s="9" t="inlineStr">
        <is>
          <t>TBD</t>
        </is>
      </c>
      <c r="O48" s="9" t="inlineStr">
        <is>
          <t>EVET</t>
        </is>
      </c>
      <c r="P48" s="9" t="inlineStr">
        <is>
          <t>USB_PD_CONTROLLER</t>
        </is>
      </c>
      <c r="Q48" s="9">
        <f>IF(O48="EVET","DNP",IF(I48="N/A","SATIN ALINMAZ",IF(I48="TBD","MPN GEREKLİ","SEÇİLDİ")))</f>
        <v/>
      </c>
      <c r="R48" s="9" t="inlineStr">
        <is>
          <t>TBD</t>
        </is>
      </c>
      <c r="S48" s="10" t="inlineStr">
        <is>
          <t>TBD</t>
        </is>
      </c>
    </row>
    <row r="49">
      <c r="A49" s="5" t="n">
        <v>48</v>
      </c>
      <c r="B49" s="5">
        <f>IF(C49="",0,LEN(C49)-LEN(SUBSTITUTE(C49,",",""))+1)</f>
        <v/>
      </c>
      <c r="C49" s="6" t="inlineStr">
        <is>
          <t>R29, R42, R53, R58</t>
        </is>
      </c>
      <c r="D49" s="5" t="inlineStr">
        <is>
          <t>100k</t>
        </is>
      </c>
      <c r="E49" s="6" t="inlineStr">
        <is>
          <t>Resistor | TBD</t>
        </is>
      </c>
      <c r="F49" s="5" t="inlineStr">
        <is>
          <t>0402 (1005 Metric)</t>
        </is>
      </c>
      <c r="G49" s="5" t="inlineStr">
        <is>
          <t>Resistor_SMD:R_0402_1005Metric</t>
        </is>
      </c>
      <c r="H49" s="7" t="inlineStr">
        <is>
          <t>TBD</t>
        </is>
      </c>
      <c r="I49" s="7" t="inlineStr">
        <is>
          <t>TBD</t>
        </is>
      </c>
      <c r="J49" s="5" t="inlineStr">
        <is>
          <t>Resistors</t>
        </is>
      </c>
      <c r="K49" s="5" t="inlineStr">
        <is>
          <t>Chip Resistor - Surface Mount</t>
        </is>
      </c>
      <c r="L49" s="5" t="inlineStr">
        <is>
          <t>Surface Mount</t>
        </is>
      </c>
      <c r="M49" s="7" t="inlineStr">
        <is>
          <t>TBD</t>
        </is>
      </c>
      <c r="N49" s="7" t="inlineStr">
        <is>
          <t>TBD</t>
        </is>
      </c>
      <c r="O49" s="5" t="inlineStr"/>
      <c r="P49" s="5" t="inlineStr">
        <is>
          <t>USB_PD_CONTROLLER, USER INTERFACE</t>
        </is>
      </c>
      <c r="Q49" s="5">
        <f>IF(O49="EVET","DNP",IF(I49="N/A","SATIN ALINMAZ",IF(I49="TBD","MPN GEREKLİ","SEÇİLDİ")))</f>
        <v/>
      </c>
      <c r="R49" s="5" t="inlineStr">
        <is>
          <t>TBD | ~</t>
        </is>
      </c>
      <c r="S49" s="8" t="inlineStr">
        <is>
          <t>TBD</t>
        </is>
      </c>
    </row>
    <row r="50">
      <c r="A50" s="5" t="n">
        <v>49</v>
      </c>
      <c r="B50" s="5">
        <f>IF(C50="",0,LEN(C50)-LEN(SUBSTITUTE(C50,",",""))+1)</f>
        <v/>
      </c>
      <c r="C50" s="6" t="inlineStr">
        <is>
          <t>R45</t>
        </is>
      </c>
      <c r="D50" s="5" t="inlineStr">
        <is>
          <t>100k</t>
        </is>
      </c>
      <c r="E50" s="6" t="inlineStr">
        <is>
          <t>Resistor</t>
        </is>
      </c>
      <c r="F50" s="5" t="inlineStr">
        <is>
          <t>0402 (1005 Metric)</t>
        </is>
      </c>
      <c r="G50" s="5" t="inlineStr">
        <is>
          <t>Resistor_SMD:R_0402_1005Metric</t>
        </is>
      </c>
      <c r="H50" s="7" t="inlineStr">
        <is>
          <t>TBD</t>
        </is>
      </c>
      <c r="I50" s="7" t="inlineStr">
        <is>
          <t>TBD</t>
        </is>
      </c>
      <c r="J50" s="5" t="inlineStr">
        <is>
          <t>Resistors</t>
        </is>
      </c>
      <c r="K50" s="5" t="inlineStr">
        <is>
          <t>Chip Resistor - Surface Mount</t>
        </is>
      </c>
      <c r="L50" s="5" t="inlineStr">
        <is>
          <t>Surface Mount</t>
        </is>
      </c>
      <c r="M50" s="7" t="inlineStr">
        <is>
          <t>TBD</t>
        </is>
      </c>
      <c r="N50" s="7" t="inlineStr">
        <is>
          <t>TBD</t>
        </is>
      </c>
      <c r="O50" s="5" t="inlineStr"/>
      <c r="P50" s="5" t="inlineStr">
        <is>
          <t>USER INTERFACE</t>
        </is>
      </c>
      <c r="Q50" s="5">
        <f>IF(O50="EVET","DNP",IF(I50="N/A","SATIN ALINMAZ",IF(I50="TBD","MPN GEREKLİ","SEÇİLDİ")))</f>
        <v/>
      </c>
      <c r="R50" s="7" t="inlineStr">
        <is>
          <t>TBD</t>
        </is>
      </c>
      <c r="S50" s="8" t="inlineStr">
        <is>
          <t>TBD</t>
        </is>
      </c>
    </row>
    <row r="51">
      <c r="A51" s="5" t="n">
        <v>50</v>
      </c>
      <c r="B51" s="5">
        <f>IF(C51="",0,LEN(C51)-LEN(SUBSTITUTE(C51,",",""))+1)</f>
        <v/>
      </c>
      <c r="C51" s="6" t="inlineStr">
        <is>
          <t>R39</t>
        </is>
      </c>
      <c r="D51" s="5" t="inlineStr">
        <is>
          <t>10k</t>
        </is>
      </c>
      <c r="E51" s="8" t="inlineStr">
        <is>
          <t>TBD</t>
        </is>
      </c>
      <c r="F51" s="5" t="inlineStr">
        <is>
          <t>0402 (1005 Metric)</t>
        </is>
      </c>
      <c r="G51" s="5" t="inlineStr">
        <is>
          <t>Resistor_SMD:R_0402_1005Metric</t>
        </is>
      </c>
      <c r="H51" s="7" t="inlineStr">
        <is>
          <t>TBD</t>
        </is>
      </c>
      <c r="I51" s="7" t="inlineStr">
        <is>
          <t>TBD</t>
        </is>
      </c>
      <c r="J51" s="5" t="inlineStr">
        <is>
          <t>Resistors</t>
        </is>
      </c>
      <c r="K51" s="5" t="inlineStr">
        <is>
          <t>Chip Resistor - Surface Mount</t>
        </is>
      </c>
      <c r="L51" s="5" t="inlineStr">
        <is>
          <t>Surface Mount</t>
        </is>
      </c>
      <c r="M51" s="7" t="inlineStr">
        <is>
          <t>TBD</t>
        </is>
      </c>
      <c r="N51" s="7" t="inlineStr">
        <is>
          <t>TBD</t>
        </is>
      </c>
      <c r="O51" s="5" t="inlineStr"/>
      <c r="P51" s="5" t="inlineStr">
        <is>
          <t>USB_PD_CONTROLLER</t>
        </is>
      </c>
      <c r="Q51" s="5">
        <f>IF(O51="EVET","DNP",IF(I51="N/A","SATIN ALINMAZ",IF(I51="TBD","MPN GEREKLİ","SEÇİLDİ")))</f>
        <v/>
      </c>
      <c r="R51" s="7" t="inlineStr">
        <is>
          <t>TBD</t>
        </is>
      </c>
      <c r="S51" s="8" t="inlineStr">
        <is>
          <t>TBD</t>
        </is>
      </c>
    </row>
    <row r="52">
      <c r="A52" s="5" t="n">
        <v>51</v>
      </c>
      <c r="B52" s="5">
        <f>IF(C52="",0,LEN(C52)-LEN(SUBSTITUTE(C52,",",""))+1)</f>
        <v/>
      </c>
      <c r="C52" s="6" t="inlineStr">
        <is>
          <t>R1, R10, R23, R27, R34, R35, R36, R37, R56, R57</t>
        </is>
      </c>
      <c r="D52" s="5" t="inlineStr">
        <is>
          <t>10k</t>
        </is>
      </c>
      <c r="E52" s="6" t="inlineStr">
        <is>
          <t>Resistor | TBD</t>
        </is>
      </c>
      <c r="F52" s="5" t="inlineStr">
        <is>
          <t>0402 (1005 Metric)</t>
        </is>
      </c>
      <c r="G52" s="5" t="inlineStr">
        <is>
          <t>Resistor_SMD:R_0402_1005Metric</t>
        </is>
      </c>
      <c r="H52" s="7" t="inlineStr">
        <is>
          <t>TBD</t>
        </is>
      </c>
      <c r="I52" s="7" t="inlineStr">
        <is>
          <t>TBD</t>
        </is>
      </c>
      <c r="J52" s="5" t="inlineStr">
        <is>
          <t>Resistors</t>
        </is>
      </c>
      <c r="K52" s="5" t="inlineStr">
        <is>
          <t>Chip Resistor - Surface Mount</t>
        </is>
      </c>
      <c r="L52" s="5" t="inlineStr">
        <is>
          <t>Surface Mount</t>
        </is>
      </c>
      <c r="M52" s="7" t="inlineStr">
        <is>
          <t>TBD</t>
        </is>
      </c>
      <c r="N52" s="7" t="inlineStr">
        <is>
          <t>TBD</t>
        </is>
      </c>
      <c r="O52" s="5" t="inlineStr"/>
      <c r="P52" s="5" t="inlineStr">
        <is>
          <t>MCU, USB_PD_CONTROLLER, USER INTERFACE</t>
        </is>
      </c>
      <c r="Q52" s="5">
        <f>IF(O52="EVET","DNP",IF(I52="N/A","SATIN ALINMAZ",IF(I52="TBD","MPN GEREKLİ","SEÇİLDİ")))</f>
        <v/>
      </c>
      <c r="R52" s="5" t="inlineStr">
        <is>
          <t>TBD | ~</t>
        </is>
      </c>
      <c r="S52" s="8" t="inlineStr">
        <is>
          <t>TBD</t>
        </is>
      </c>
    </row>
    <row r="53">
      <c r="A53" s="5" t="n">
        <v>52</v>
      </c>
      <c r="B53" s="5">
        <f>IF(C53="",0,LEN(C53)-LEN(SUBSTITUTE(C53,",",""))+1)</f>
        <v/>
      </c>
      <c r="C53" s="6" t="inlineStr">
        <is>
          <t>R59</t>
        </is>
      </c>
      <c r="D53" s="5" t="inlineStr">
        <is>
          <t>10k</t>
        </is>
      </c>
      <c r="E53" s="8" t="inlineStr">
        <is>
          <t>TBD</t>
        </is>
      </c>
      <c r="F53" s="5" t="inlineStr">
        <is>
          <t>0402 (1005 Metric)</t>
        </is>
      </c>
      <c r="G53" s="5" t="inlineStr">
        <is>
          <t>Resistor_SMD:R_0402_1005Metric</t>
        </is>
      </c>
      <c r="H53" s="7" t="inlineStr">
        <is>
          <t>TBD</t>
        </is>
      </c>
      <c r="I53" s="7" t="inlineStr">
        <is>
          <t>TBD</t>
        </is>
      </c>
      <c r="J53" s="5" t="inlineStr">
        <is>
          <t>Resistors</t>
        </is>
      </c>
      <c r="K53" s="5" t="inlineStr">
        <is>
          <t>Chip Resistor - Surface Mount</t>
        </is>
      </c>
      <c r="L53" s="5" t="inlineStr">
        <is>
          <t>Surface Mount</t>
        </is>
      </c>
      <c r="M53" s="7" t="inlineStr">
        <is>
          <t>TBD</t>
        </is>
      </c>
      <c r="N53" s="7" t="inlineStr">
        <is>
          <t>TBD</t>
        </is>
      </c>
      <c r="O53" s="5" t="inlineStr"/>
      <c r="P53" s="5" t="inlineStr">
        <is>
          <t>USB_PD_CONTROLLER</t>
        </is>
      </c>
      <c r="Q53" s="5">
        <f>IF(O53="EVET","DNP",IF(I53="N/A","SATIN ALINMAZ",IF(I53="TBD","MPN GEREKLİ","SEÇİLDİ")))</f>
        <v/>
      </c>
      <c r="R53" s="5" t="inlineStr">
        <is>
          <t>~</t>
        </is>
      </c>
      <c r="S53" s="8" t="inlineStr">
        <is>
          <t>TBD</t>
        </is>
      </c>
    </row>
    <row r="54">
      <c r="A54" s="5" t="n">
        <v>53</v>
      </c>
      <c r="B54" s="5">
        <f>IF(C54="",0,LEN(C54)-LEN(SUBSTITUTE(C54,",",""))+1)</f>
        <v/>
      </c>
      <c r="C54" s="6" t="inlineStr">
        <is>
          <t>R8</t>
        </is>
      </c>
      <c r="D54" s="5" t="inlineStr">
        <is>
          <t>12k</t>
        </is>
      </c>
      <c r="E54" s="6" t="inlineStr">
        <is>
          <t>Resistor</t>
        </is>
      </c>
      <c r="F54" s="5" t="inlineStr">
        <is>
          <t>0402 (1005 Metric)</t>
        </is>
      </c>
      <c r="G54" s="5" t="inlineStr">
        <is>
          <t>Resistor_SMD:R_0402_1005Metric</t>
        </is>
      </c>
      <c r="H54" s="7" t="inlineStr">
        <is>
          <t>TBD</t>
        </is>
      </c>
      <c r="I54" s="7" t="inlineStr">
        <is>
          <t>TBD</t>
        </is>
      </c>
      <c r="J54" s="5" t="inlineStr">
        <is>
          <t>Resistors</t>
        </is>
      </c>
      <c r="K54" s="5" t="inlineStr">
        <is>
          <t>Chip Resistor - Surface Mount</t>
        </is>
      </c>
      <c r="L54" s="5" t="inlineStr">
        <is>
          <t>Surface Mount</t>
        </is>
      </c>
      <c r="M54" s="7" t="inlineStr">
        <is>
          <t>TBD</t>
        </is>
      </c>
      <c r="N54" s="7" t="inlineStr">
        <is>
          <t>TBD</t>
        </is>
      </c>
      <c r="O54" s="5" t="inlineStr"/>
      <c r="P54" s="5" t="inlineStr">
        <is>
          <t>USB_PD_CONTROLLER</t>
        </is>
      </c>
      <c r="Q54" s="5">
        <f>IF(O54="EVET","DNP",IF(I54="N/A","SATIN ALINMAZ",IF(I54="TBD","MPN GEREKLİ","SEÇİLDİ")))</f>
        <v/>
      </c>
      <c r="R54" s="7" t="inlineStr">
        <is>
          <t>TBD</t>
        </is>
      </c>
      <c r="S54" s="8" t="inlineStr">
        <is>
          <t>TBD</t>
        </is>
      </c>
    </row>
    <row r="55">
      <c r="A55" s="5" t="n">
        <v>54</v>
      </c>
      <c r="B55" s="5">
        <f>IF(C55="",0,LEN(C55)-LEN(SUBSTITUTE(C55,",",""))+1)</f>
        <v/>
      </c>
      <c r="C55" s="6" t="inlineStr">
        <is>
          <t>R41</t>
        </is>
      </c>
      <c r="D55" s="5" t="inlineStr">
        <is>
          <t>12k7</t>
        </is>
      </c>
      <c r="E55" s="8" t="inlineStr">
        <is>
          <t>TBD</t>
        </is>
      </c>
      <c r="F55" s="5" t="inlineStr">
        <is>
          <t>0402 (1005 Metric)</t>
        </is>
      </c>
      <c r="G55" s="5" t="inlineStr">
        <is>
          <t>Resistor_SMD:R_0402_1005Metric</t>
        </is>
      </c>
      <c r="H55" s="7" t="inlineStr">
        <is>
          <t>TBD</t>
        </is>
      </c>
      <c r="I55" s="7" t="inlineStr">
        <is>
          <t>TBD</t>
        </is>
      </c>
      <c r="J55" s="5" t="inlineStr">
        <is>
          <t>Resistors</t>
        </is>
      </c>
      <c r="K55" s="5" t="inlineStr">
        <is>
          <t>Chip Resistor - Surface Mount</t>
        </is>
      </c>
      <c r="L55" s="5" t="inlineStr">
        <is>
          <t>Surface Mount</t>
        </is>
      </c>
      <c r="M55" s="7" t="inlineStr">
        <is>
          <t>TBD</t>
        </is>
      </c>
      <c r="N55" s="7" t="inlineStr">
        <is>
          <t>TBD</t>
        </is>
      </c>
      <c r="O55" s="5" t="inlineStr"/>
      <c r="P55" s="5" t="inlineStr">
        <is>
          <t>USB_PD_CONTROLLER</t>
        </is>
      </c>
      <c r="Q55" s="5">
        <f>IF(O55="EVET","DNP",IF(I55="N/A","SATIN ALINMAZ",IF(I55="TBD","MPN GEREKLİ","SEÇİLDİ")))</f>
        <v/>
      </c>
      <c r="R55" s="7" t="inlineStr">
        <is>
          <t>TBD</t>
        </is>
      </c>
      <c r="S55" s="8" t="inlineStr">
        <is>
          <t>TBD</t>
        </is>
      </c>
    </row>
    <row r="56">
      <c r="A56" s="5" t="n">
        <v>55</v>
      </c>
      <c r="B56" s="5">
        <f>IF(C56="",0,LEN(C56)-LEN(SUBSTITUTE(C56,",",""))+1)</f>
        <v/>
      </c>
      <c r="C56" s="6" t="inlineStr">
        <is>
          <t>R22, R51, R54</t>
        </is>
      </c>
      <c r="D56" s="5" t="inlineStr">
        <is>
          <t>1k0</t>
        </is>
      </c>
      <c r="E56" s="6" t="inlineStr">
        <is>
          <t>Resistor | TBD</t>
        </is>
      </c>
      <c r="F56" s="5" t="inlineStr">
        <is>
          <t>0402 (1005 Metric)</t>
        </is>
      </c>
      <c r="G56" s="5" t="inlineStr">
        <is>
          <t>Resistor_SMD:R_0402_1005Metric</t>
        </is>
      </c>
      <c r="H56" s="7" t="inlineStr">
        <is>
          <t>TBD</t>
        </is>
      </c>
      <c r="I56" s="7" t="inlineStr">
        <is>
          <t>TBD</t>
        </is>
      </c>
      <c r="J56" s="5" t="inlineStr">
        <is>
          <t>Resistors</t>
        </is>
      </c>
      <c r="K56" s="5" t="inlineStr">
        <is>
          <t>Chip Resistor - Surface Mount</t>
        </is>
      </c>
      <c r="L56" s="5" t="inlineStr">
        <is>
          <t>Surface Mount</t>
        </is>
      </c>
      <c r="M56" s="7" t="inlineStr">
        <is>
          <t>TBD</t>
        </is>
      </c>
      <c r="N56" s="7" t="inlineStr">
        <is>
          <t>TBD</t>
        </is>
      </c>
      <c r="O56" s="5" t="inlineStr"/>
      <c r="P56" s="5" t="inlineStr">
        <is>
          <t>MCU, USB_PD_CONTROLLER</t>
        </is>
      </c>
      <c r="Q56" s="5">
        <f>IF(O56="EVET","DNP",IF(I56="N/A","SATIN ALINMAZ",IF(I56="TBD","MPN GEREKLİ","SEÇİLDİ")))</f>
        <v/>
      </c>
      <c r="R56" s="5" t="inlineStr">
        <is>
          <t>TBD | ~</t>
        </is>
      </c>
      <c r="S56" s="8" t="inlineStr">
        <is>
          <t>TBD</t>
        </is>
      </c>
    </row>
    <row r="57">
      <c r="A57" s="5" t="n">
        <v>56</v>
      </c>
      <c r="B57" s="5">
        <f>IF(C57="",0,LEN(C57)-LEN(SUBSTITUTE(C57,",",""))+1)</f>
        <v/>
      </c>
      <c r="C57" s="6" t="inlineStr">
        <is>
          <t>R43</t>
        </is>
      </c>
      <c r="D57" s="5" t="inlineStr">
        <is>
          <t>1k0</t>
        </is>
      </c>
      <c r="E57" s="8" t="inlineStr">
        <is>
          <t>TBD</t>
        </is>
      </c>
      <c r="F57" s="5" t="inlineStr">
        <is>
          <t>2512 (6332 Metric)</t>
        </is>
      </c>
      <c r="G57" s="5" t="inlineStr">
        <is>
          <t>Resistor_SMD:R_2512_6332Metric</t>
        </is>
      </c>
      <c r="H57" s="7" t="inlineStr">
        <is>
          <t>TBD</t>
        </is>
      </c>
      <c r="I57" s="7" t="inlineStr">
        <is>
          <t>TBD</t>
        </is>
      </c>
      <c r="J57" s="5" t="inlineStr">
        <is>
          <t>Resistors</t>
        </is>
      </c>
      <c r="K57" s="5" t="inlineStr">
        <is>
          <t>Chip Resistor - Surface Mount</t>
        </is>
      </c>
      <c r="L57" s="5" t="inlineStr">
        <is>
          <t>Surface Mount</t>
        </is>
      </c>
      <c r="M57" s="7" t="inlineStr">
        <is>
          <t>TBD</t>
        </is>
      </c>
      <c r="N57" s="7" t="inlineStr">
        <is>
          <t>TBD</t>
        </is>
      </c>
      <c r="O57" s="5" t="inlineStr"/>
      <c r="P57" s="5" t="inlineStr">
        <is>
          <t>USB_PD_CONTROLLER</t>
        </is>
      </c>
      <c r="Q57" s="5">
        <f>IF(O57="EVET","DNP",IF(I57="N/A","SATIN ALINMAZ",IF(I57="TBD","MPN GEREKLİ","SEÇİLDİ")))</f>
        <v/>
      </c>
      <c r="R57" s="7" t="inlineStr">
        <is>
          <t>TBD</t>
        </is>
      </c>
      <c r="S57" s="6" t="inlineStr">
        <is>
          <t>Sont besleme: 28V'ta 0.651W. Gercek 2W parca secilecek; ayak 2512.</t>
        </is>
      </c>
    </row>
    <row r="58">
      <c r="A58" s="5" t="n">
        <v>57</v>
      </c>
      <c r="B58" s="5">
        <f>IF(C58="",0,LEN(C58)-LEN(SUBSTITUTE(C58,",",""))+1)</f>
        <v/>
      </c>
      <c r="C58" s="6" t="inlineStr">
        <is>
          <t>R9</t>
        </is>
      </c>
      <c r="D58" s="5" t="inlineStr">
        <is>
          <t>20k</t>
        </is>
      </c>
      <c r="E58" s="6" t="inlineStr">
        <is>
          <t>Resistor</t>
        </is>
      </c>
      <c r="F58" s="5" t="inlineStr">
        <is>
          <t>0402 (1005 Metric)</t>
        </is>
      </c>
      <c r="G58" s="5" t="inlineStr">
        <is>
          <t>Resistor_SMD:R_0402_1005Metric</t>
        </is>
      </c>
      <c r="H58" s="7" t="inlineStr">
        <is>
          <t>TBD</t>
        </is>
      </c>
      <c r="I58" s="7" t="inlineStr">
        <is>
          <t>TBD</t>
        </is>
      </c>
      <c r="J58" s="5" t="inlineStr">
        <is>
          <t>Resistors</t>
        </is>
      </c>
      <c r="K58" s="5" t="inlineStr">
        <is>
          <t>Chip Resistor - Surface Mount</t>
        </is>
      </c>
      <c r="L58" s="5" t="inlineStr">
        <is>
          <t>Surface Mount</t>
        </is>
      </c>
      <c r="M58" s="7" t="inlineStr">
        <is>
          <t>TBD</t>
        </is>
      </c>
      <c r="N58" s="7" t="inlineStr">
        <is>
          <t>TBD</t>
        </is>
      </c>
      <c r="O58" s="5" t="inlineStr"/>
      <c r="P58" s="5" t="inlineStr">
        <is>
          <t>USB_PD_CONTROLLER</t>
        </is>
      </c>
      <c r="Q58" s="5">
        <f>IF(O58="EVET","DNP",IF(I58="N/A","SATIN ALINMAZ",IF(I58="TBD","MPN GEREKLİ","SEÇİLDİ")))</f>
        <v/>
      </c>
      <c r="R58" s="7" t="inlineStr">
        <is>
          <t>TBD</t>
        </is>
      </c>
      <c r="S58" s="8" t="inlineStr">
        <is>
          <t>TBD</t>
        </is>
      </c>
    </row>
    <row r="59">
      <c r="A59" s="5" t="n">
        <v>58</v>
      </c>
      <c r="B59" s="5">
        <f>IF(C59="",0,LEN(C59)-LEN(SUBSTITUTE(C59,",",""))+1)</f>
        <v/>
      </c>
      <c r="C59" s="6" t="inlineStr">
        <is>
          <t>R2, R3, R15, R16</t>
        </is>
      </c>
      <c r="D59" s="5" t="inlineStr">
        <is>
          <t>22R</t>
        </is>
      </c>
      <c r="E59" s="6" t="inlineStr">
        <is>
          <t>Resistor</t>
        </is>
      </c>
      <c r="F59" s="5" t="inlineStr">
        <is>
          <t>0402 (1005 Metric)</t>
        </is>
      </c>
      <c r="G59" s="5" t="inlineStr">
        <is>
          <t>Resistor_SMD:R_0402_1005Metric</t>
        </is>
      </c>
      <c r="H59" s="7" t="inlineStr">
        <is>
          <t>TBD</t>
        </is>
      </c>
      <c r="I59" s="7" t="inlineStr">
        <is>
          <t>TBD</t>
        </is>
      </c>
      <c r="J59" s="5" t="inlineStr">
        <is>
          <t>Resistors</t>
        </is>
      </c>
      <c r="K59" s="5" t="inlineStr">
        <is>
          <t>Chip Resistor - Surface Mount</t>
        </is>
      </c>
      <c r="L59" s="5" t="inlineStr">
        <is>
          <t>Surface Mount</t>
        </is>
      </c>
      <c r="M59" s="7" t="inlineStr">
        <is>
          <t>TBD</t>
        </is>
      </c>
      <c r="N59" s="7" t="inlineStr">
        <is>
          <t>TBD</t>
        </is>
      </c>
      <c r="O59" s="5" t="inlineStr"/>
      <c r="P59" s="5" t="inlineStr">
        <is>
          <t>MCU</t>
        </is>
      </c>
      <c r="Q59" s="5">
        <f>IF(O59="EVET","DNP",IF(I59="N/A","SATIN ALINMAZ",IF(I59="TBD","MPN GEREKLİ","SEÇİLDİ")))</f>
        <v/>
      </c>
      <c r="R59" s="7" t="inlineStr">
        <is>
          <t>TBD</t>
        </is>
      </c>
      <c r="S59" s="8" t="inlineStr">
        <is>
          <t>TBD</t>
        </is>
      </c>
    </row>
    <row r="60">
      <c r="A60" s="5" t="n">
        <v>59</v>
      </c>
      <c r="B60" s="5">
        <f>IF(C60="",0,LEN(C60)-LEN(SUBSTITUTE(C60,",",""))+1)</f>
        <v/>
      </c>
      <c r="C60" s="6" t="inlineStr">
        <is>
          <t>R55</t>
        </is>
      </c>
      <c r="D60" s="5" t="inlineStr">
        <is>
          <t>232k</t>
        </is>
      </c>
      <c r="E60" s="8" t="inlineStr">
        <is>
          <t>TBD</t>
        </is>
      </c>
      <c r="F60" s="5" t="inlineStr">
        <is>
          <t>0402 (1005 Metric)</t>
        </is>
      </c>
      <c r="G60" s="5" t="inlineStr">
        <is>
          <t>Resistor_SMD:R_0402_1005Metric</t>
        </is>
      </c>
      <c r="H60" s="7" t="inlineStr">
        <is>
          <t>TBD</t>
        </is>
      </c>
      <c r="I60" s="7" t="inlineStr">
        <is>
          <t>TBD</t>
        </is>
      </c>
      <c r="J60" s="5" t="inlineStr">
        <is>
          <t>Resistors</t>
        </is>
      </c>
      <c r="K60" s="5" t="inlineStr">
        <is>
          <t>Chip Resistor - Surface Mount</t>
        </is>
      </c>
      <c r="L60" s="5" t="inlineStr">
        <is>
          <t>Surface Mount</t>
        </is>
      </c>
      <c r="M60" s="7" t="inlineStr">
        <is>
          <t>TBD</t>
        </is>
      </c>
      <c r="N60" s="7" t="inlineStr">
        <is>
          <t>TBD</t>
        </is>
      </c>
      <c r="O60" s="5" t="inlineStr"/>
      <c r="P60" s="5" t="inlineStr">
        <is>
          <t>USB_PD_CONTROLLER</t>
        </is>
      </c>
      <c r="Q60" s="5">
        <f>IF(O60="EVET","DNP",IF(I60="N/A","SATIN ALINMAZ",IF(I60="TBD","MPN GEREKLİ","SEÇİLDİ")))</f>
        <v/>
      </c>
      <c r="R60" s="5" t="inlineStr">
        <is>
          <t>~</t>
        </is>
      </c>
      <c r="S60" s="8" t="inlineStr">
        <is>
          <t>TBD</t>
        </is>
      </c>
    </row>
    <row r="61">
      <c r="A61" s="5" t="n">
        <v>60</v>
      </c>
      <c r="B61" s="5">
        <f>IF(C61="",0,LEN(C61)-LEN(SUBSTITUTE(C61,",",""))+1)</f>
        <v/>
      </c>
      <c r="C61" s="6" t="inlineStr">
        <is>
          <t>R52</t>
        </is>
      </c>
      <c r="D61" s="5" t="inlineStr">
        <is>
          <t>2k0</t>
        </is>
      </c>
      <c r="E61" s="8" t="inlineStr">
        <is>
          <t>TBD</t>
        </is>
      </c>
      <c r="F61" s="5" t="inlineStr">
        <is>
          <t>0402 (1005 Metric)</t>
        </is>
      </c>
      <c r="G61" s="5" t="inlineStr">
        <is>
          <t>Resistor_SMD:R_0402_1005Metric</t>
        </is>
      </c>
      <c r="H61" s="7" t="inlineStr">
        <is>
          <t>TBD</t>
        </is>
      </c>
      <c r="I61" s="7" t="inlineStr">
        <is>
          <t>TBD</t>
        </is>
      </c>
      <c r="J61" s="5" t="inlineStr">
        <is>
          <t>Resistors</t>
        </is>
      </c>
      <c r="K61" s="5" t="inlineStr">
        <is>
          <t>Chip Resistor - Surface Mount</t>
        </is>
      </c>
      <c r="L61" s="5" t="inlineStr">
        <is>
          <t>Surface Mount</t>
        </is>
      </c>
      <c r="M61" s="7" t="inlineStr">
        <is>
          <t>TBD</t>
        </is>
      </c>
      <c r="N61" s="7" t="inlineStr">
        <is>
          <t>TBD</t>
        </is>
      </c>
      <c r="O61" s="5" t="inlineStr"/>
      <c r="P61" s="5" t="inlineStr">
        <is>
          <t>USB_PD_CONTROLLER</t>
        </is>
      </c>
      <c r="Q61" s="5">
        <f>IF(O61="EVET","DNP",IF(I61="N/A","SATIN ALINMAZ",IF(I61="TBD","MPN GEREKLİ","SEÇİLDİ")))</f>
        <v/>
      </c>
      <c r="R61" s="5" t="inlineStr">
        <is>
          <t>~</t>
        </is>
      </c>
      <c r="S61" s="8" t="inlineStr">
        <is>
          <t>TBD</t>
        </is>
      </c>
    </row>
    <row r="62">
      <c r="A62" s="5" t="n">
        <v>61</v>
      </c>
      <c r="B62" s="5">
        <f>IF(C62="",0,LEN(C62)-LEN(SUBSTITUTE(C62,",",""))+1)</f>
        <v/>
      </c>
      <c r="C62" s="6" t="inlineStr">
        <is>
          <t>R14</t>
        </is>
      </c>
      <c r="D62" s="5" t="inlineStr">
        <is>
          <t>2k2</t>
        </is>
      </c>
      <c r="E62" s="6" t="inlineStr">
        <is>
          <t>Resistor</t>
        </is>
      </c>
      <c r="F62" s="5" t="inlineStr">
        <is>
          <t>0402 (1005 Metric)</t>
        </is>
      </c>
      <c r="G62" s="5" t="inlineStr">
        <is>
          <t>Resistor_SMD:R_0402_1005Metric</t>
        </is>
      </c>
      <c r="H62" s="7" t="inlineStr">
        <is>
          <t>TBD</t>
        </is>
      </c>
      <c r="I62" s="7" t="inlineStr">
        <is>
          <t>TBD</t>
        </is>
      </c>
      <c r="J62" s="5" t="inlineStr">
        <is>
          <t>Resistors</t>
        </is>
      </c>
      <c r="K62" s="5" t="inlineStr">
        <is>
          <t>Chip Resistor - Surface Mount</t>
        </is>
      </c>
      <c r="L62" s="5" t="inlineStr">
        <is>
          <t>Surface Mount</t>
        </is>
      </c>
      <c r="M62" s="7" t="inlineStr">
        <is>
          <t>TBD</t>
        </is>
      </c>
      <c r="N62" s="7" t="inlineStr">
        <is>
          <t>TBD</t>
        </is>
      </c>
      <c r="O62" s="5" t="inlineStr"/>
      <c r="P62" s="5" t="inlineStr">
        <is>
          <t>USB_PD_CONTROLLER</t>
        </is>
      </c>
      <c r="Q62" s="5">
        <f>IF(O62="EVET","DNP",IF(I62="N/A","SATIN ALINMAZ",IF(I62="TBD","MPN GEREKLİ","SEÇİLDİ")))</f>
        <v/>
      </c>
      <c r="R62" s="7" t="inlineStr">
        <is>
          <t>TBD</t>
        </is>
      </c>
      <c r="S62" s="8" t="inlineStr">
        <is>
          <t>TBD</t>
        </is>
      </c>
    </row>
    <row r="63">
      <c r="A63" s="5" t="n">
        <v>62</v>
      </c>
      <c r="B63" s="5">
        <f>IF(C63="",0,LEN(C63)-LEN(SUBSTITUTE(C63,",",""))+1)</f>
        <v/>
      </c>
      <c r="C63" s="6" t="inlineStr">
        <is>
          <t>R48</t>
        </is>
      </c>
      <c r="D63" s="5" t="inlineStr">
        <is>
          <t>30k1</t>
        </is>
      </c>
      <c r="E63" s="8" t="inlineStr">
        <is>
          <t>TBD</t>
        </is>
      </c>
      <c r="F63" s="5" t="inlineStr">
        <is>
          <t>0402 (1005 Metric)</t>
        </is>
      </c>
      <c r="G63" s="5" t="inlineStr">
        <is>
          <t>Resistor_SMD:R_0402_1005Metric</t>
        </is>
      </c>
      <c r="H63" s="7" t="inlineStr">
        <is>
          <t>TBD</t>
        </is>
      </c>
      <c r="I63" s="7" t="inlineStr">
        <is>
          <t>TBD</t>
        </is>
      </c>
      <c r="J63" s="5" t="inlineStr">
        <is>
          <t>Resistors</t>
        </is>
      </c>
      <c r="K63" s="5" t="inlineStr">
        <is>
          <t>Chip Resistor - Surface Mount</t>
        </is>
      </c>
      <c r="L63" s="5" t="inlineStr">
        <is>
          <t>Surface Mount</t>
        </is>
      </c>
      <c r="M63" s="7" t="inlineStr">
        <is>
          <t>TBD</t>
        </is>
      </c>
      <c r="N63" s="7" t="inlineStr">
        <is>
          <t>TBD</t>
        </is>
      </c>
      <c r="O63" s="5" t="inlineStr"/>
      <c r="P63" s="5" t="inlineStr">
        <is>
          <t>USB_PD_CONTROLLER</t>
        </is>
      </c>
      <c r="Q63" s="5">
        <f>IF(O63="EVET","DNP",IF(I63="N/A","SATIN ALINMAZ",IF(I63="TBD","MPN GEREKLİ","SEÇİLDİ")))</f>
        <v/>
      </c>
      <c r="R63" s="5" t="inlineStr">
        <is>
          <t>~</t>
        </is>
      </c>
      <c r="S63" s="8" t="inlineStr">
        <is>
          <t>TBD</t>
        </is>
      </c>
    </row>
    <row r="64">
      <c r="A64" s="5" t="n">
        <v>63</v>
      </c>
      <c r="B64" s="5">
        <f>IF(C64="",0,LEN(C64)-LEN(SUBSTITUTE(C64,",",""))+1)</f>
        <v/>
      </c>
      <c r="C64" s="6" t="inlineStr">
        <is>
          <t>R40</t>
        </is>
      </c>
      <c r="D64" s="5" t="inlineStr">
        <is>
          <t>3k20</t>
        </is>
      </c>
      <c r="E64" s="8" t="inlineStr">
        <is>
          <t>TBD</t>
        </is>
      </c>
      <c r="F64" s="5" t="inlineStr">
        <is>
          <t>0402 (1005 Metric)</t>
        </is>
      </c>
      <c r="G64" s="5" t="inlineStr">
        <is>
          <t>Resistor_SMD:R_0402_1005Metric</t>
        </is>
      </c>
      <c r="H64" s="7" t="inlineStr">
        <is>
          <t>TBD</t>
        </is>
      </c>
      <c r="I64" s="7" t="inlineStr">
        <is>
          <t>TBD</t>
        </is>
      </c>
      <c r="J64" s="5" t="inlineStr">
        <is>
          <t>Resistors</t>
        </is>
      </c>
      <c r="K64" s="5" t="inlineStr">
        <is>
          <t>Chip Resistor - Surface Mount</t>
        </is>
      </c>
      <c r="L64" s="5" t="inlineStr">
        <is>
          <t>Surface Mount</t>
        </is>
      </c>
      <c r="M64" s="7" t="inlineStr">
        <is>
          <t>TBD</t>
        </is>
      </c>
      <c r="N64" s="7" t="inlineStr">
        <is>
          <t>TBD</t>
        </is>
      </c>
      <c r="O64" s="5" t="inlineStr"/>
      <c r="P64" s="5" t="inlineStr">
        <is>
          <t>USB_PD_CONTROLLER</t>
        </is>
      </c>
      <c r="Q64" s="5">
        <f>IF(O64="EVET","DNP",IF(I64="N/A","SATIN ALINMAZ",IF(I64="TBD","MPN GEREKLİ","SEÇİLDİ")))</f>
        <v/>
      </c>
      <c r="R64" s="7" t="inlineStr">
        <is>
          <t>TBD</t>
        </is>
      </c>
      <c r="S64" s="8" t="inlineStr">
        <is>
          <t>TBD</t>
        </is>
      </c>
    </row>
    <row r="65">
      <c r="A65" s="5" t="n">
        <v>64</v>
      </c>
      <c r="B65" s="5">
        <f>IF(C65="",0,LEN(C65)-LEN(SUBSTITUTE(C65,",",""))+1)</f>
        <v/>
      </c>
      <c r="C65" s="6" t="inlineStr">
        <is>
          <t>R46</t>
        </is>
      </c>
      <c r="D65" s="5" t="inlineStr">
        <is>
          <t>3k24</t>
        </is>
      </c>
      <c r="E65" s="6" t="inlineStr">
        <is>
          <t>Resistor</t>
        </is>
      </c>
      <c r="F65" s="5" t="inlineStr">
        <is>
          <t>0402 (1005 Metric)</t>
        </is>
      </c>
      <c r="G65" s="5" t="inlineStr">
        <is>
          <t>Resistor_SMD:R_0402_1005Metric</t>
        </is>
      </c>
      <c r="H65" s="7" t="inlineStr">
        <is>
          <t>TBD</t>
        </is>
      </c>
      <c r="I65" s="7" t="inlineStr">
        <is>
          <t>TBD</t>
        </is>
      </c>
      <c r="J65" s="5" t="inlineStr">
        <is>
          <t>Resistors</t>
        </is>
      </c>
      <c r="K65" s="5" t="inlineStr">
        <is>
          <t>Chip Resistor - Surface Mount</t>
        </is>
      </c>
      <c r="L65" s="5" t="inlineStr">
        <is>
          <t>Surface Mount</t>
        </is>
      </c>
      <c r="M65" s="7" t="inlineStr">
        <is>
          <t>TBD</t>
        </is>
      </c>
      <c r="N65" s="7" t="inlineStr">
        <is>
          <t>TBD</t>
        </is>
      </c>
      <c r="O65" s="5" t="inlineStr"/>
      <c r="P65" s="5" t="inlineStr">
        <is>
          <t>USER INTERFACE</t>
        </is>
      </c>
      <c r="Q65" s="5">
        <f>IF(O65="EVET","DNP",IF(I65="N/A","SATIN ALINMAZ",IF(I65="TBD","MPN GEREKLİ","SEÇİLDİ")))</f>
        <v/>
      </c>
      <c r="R65" s="7" t="inlineStr">
        <is>
          <t>TBD</t>
        </is>
      </c>
      <c r="S65" s="8" t="inlineStr">
        <is>
          <t>TBD</t>
        </is>
      </c>
    </row>
    <row r="66">
      <c r="A66" s="5" t="n">
        <v>65</v>
      </c>
      <c r="B66" s="5">
        <f>IF(C66="",0,LEN(C66)-LEN(SUBSTITUTE(C66,",",""))+1)</f>
        <v/>
      </c>
      <c r="C66" s="6" t="inlineStr">
        <is>
          <t>R4, R5, R6, R7, R24, R25, R26</t>
        </is>
      </c>
      <c r="D66" s="5" t="inlineStr">
        <is>
          <t>4k7</t>
        </is>
      </c>
      <c r="E66" s="6" t="inlineStr">
        <is>
          <t>Resistor</t>
        </is>
      </c>
      <c r="F66" s="5" t="inlineStr">
        <is>
          <t>0402 (1005 Metric)</t>
        </is>
      </c>
      <c r="G66" s="5" t="inlineStr">
        <is>
          <t>Resistor_SMD:R_0402_1005Metric</t>
        </is>
      </c>
      <c r="H66" s="7" t="inlineStr">
        <is>
          <t>TBD</t>
        </is>
      </c>
      <c r="I66" s="7" t="inlineStr">
        <is>
          <t>TBD</t>
        </is>
      </c>
      <c r="J66" s="5" t="inlineStr">
        <is>
          <t>Resistors</t>
        </is>
      </c>
      <c r="K66" s="5" t="inlineStr">
        <is>
          <t>Chip Resistor - Surface Mount</t>
        </is>
      </c>
      <c r="L66" s="5" t="inlineStr">
        <is>
          <t>Surface Mount</t>
        </is>
      </c>
      <c r="M66" s="7" t="inlineStr">
        <is>
          <t>TBD</t>
        </is>
      </c>
      <c r="N66" s="7" t="inlineStr">
        <is>
          <t>TBD</t>
        </is>
      </c>
      <c r="O66" s="5" t="inlineStr"/>
      <c r="P66" s="5" t="inlineStr">
        <is>
          <t>MCU, USB_PD_CONTROLLER</t>
        </is>
      </c>
      <c r="Q66" s="5">
        <f>IF(O66="EVET","DNP",IF(I66="N/A","SATIN ALINMAZ",IF(I66="TBD","MPN GEREKLİ","SEÇİLDİ")))</f>
        <v/>
      </c>
      <c r="R66" s="7" t="inlineStr">
        <is>
          <t>TBD</t>
        </is>
      </c>
      <c r="S66" s="8" t="inlineStr">
        <is>
          <t>TBD</t>
        </is>
      </c>
    </row>
    <row r="67">
      <c r="A67" s="5" t="n">
        <v>66</v>
      </c>
      <c r="B67" s="5">
        <f>IF(C67="",0,LEN(C67)-LEN(SUBSTITUTE(C67,",",""))+1)</f>
        <v/>
      </c>
      <c r="C67" s="6" t="inlineStr">
        <is>
          <t>R11, RShunt1</t>
        </is>
      </c>
      <c r="D67" s="5" t="inlineStr">
        <is>
          <t>5m0</t>
        </is>
      </c>
      <c r="E67" s="6" t="inlineStr">
        <is>
          <t>Resistor</t>
        </is>
      </c>
      <c r="F67" s="5" t="inlineStr">
        <is>
          <t>2512 (6332 Metric)</t>
        </is>
      </c>
      <c r="G67" s="5" t="inlineStr">
        <is>
          <t>Resistor_SMD:R_2512_6332Metric</t>
        </is>
      </c>
      <c r="H67" s="7" t="inlineStr">
        <is>
          <t>TBD</t>
        </is>
      </c>
      <c r="I67" s="7" t="inlineStr">
        <is>
          <t>TBD</t>
        </is>
      </c>
      <c r="J67" s="5" t="inlineStr">
        <is>
          <t>Resistors</t>
        </is>
      </c>
      <c r="K67" s="5" t="inlineStr">
        <is>
          <t>Current Sense Resistors</t>
        </is>
      </c>
      <c r="L67" s="5" t="inlineStr">
        <is>
          <t>Surface Mount</t>
        </is>
      </c>
      <c r="M67" s="7" t="inlineStr">
        <is>
          <t>TBD</t>
        </is>
      </c>
      <c r="N67" s="7" t="inlineStr">
        <is>
          <t>TBD</t>
        </is>
      </c>
      <c r="O67" s="5" t="inlineStr"/>
      <c r="P67" s="5" t="inlineStr">
        <is>
          <t>USB_PD_CONTROLLER</t>
        </is>
      </c>
      <c r="Q67" s="5">
        <f>IF(O67="EVET","DNP",IF(I67="N/A","SATIN ALINMAZ",IF(I67="TBD","MPN GEREKLİ","SEÇİLDİ")))</f>
        <v/>
      </c>
      <c r="R67" s="7" t="inlineStr">
        <is>
          <t>TBD</t>
        </is>
      </c>
      <c r="S67" s="8" t="inlineStr">
        <is>
          <t>TBD</t>
        </is>
      </c>
    </row>
    <row r="68">
      <c r="A68" s="5" t="n">
        <v>67</v>
      </c>
      <c r="B68" s="5">
        <f>IF(C68="",0,LEN(C68)-LEN(SUBSTITUTE(C68,",",""))+1)</f>
        <v/>
      </c>
      <c r="C68" s="6" t="inlineStr">
        <is>
          <t>R44</t>
        </is>
      </c>
      <c r="D68" s="5" t="inlineStr">
        <is>
          <t>604k</t>
        </is>
      </c>
      <c r="E68" s="6" t="inlineStr">
        <is>
          <t>Resistor</t>
        </is>
      </c>
      <c r="F68" s="5" t="inlineStr">
        <is>
          <t>0402 (1005 Metric)</t>
        </is>
      </c>
      <c r="G68" s="5" t="inlineStr">
        <is>
          <t>Resistor_SMD:R_0402_1005Metric</t>
        </is>
      </c>
      <c r="H68" s="7" t="inlineStr">
        <is>
          <t>TBD</t>
        </is>
      </c>
      <c r="I68" s="7" t="inlineStr">
        <is>
          <t>TBD</t>
        </is>
      </c>
      <c r="J68" s="5" t="inlineStr">
        <is>
          <t>Resistors</t>
        </is>
      </c>
      <c r="K68" s="5" t="inlineStr">
        <is>
          <t>Chip Resistor - Surface Mount</t>
        </is>
      </c>
      <c r="L68" s="5" t="inlineStr">
        <is>
          <t>Surface Mount</t>
        </is>
      </c>
      <c r="M68" s="7" t="inlineStr">
        <is>
          <t>TBD</t>
        </is>
      </c>
      <c r="N68" s="7" t="inlineStr">
        <is>
          <t>TBD</t>
        </is>
      </c>
      <c r="O68" s="5" t="inlineStr"/>
      <c r="P68" s="5" t="inlineStr">
        <is>
          <t>USER INTERFACE</t>
        </is>
      </c>
      <c r="Q68" s="5">
        <f>IF(O68="EVET","DNP",IF(I68="N/A","SATIN ALINMAZ",IF(I68="TBD","MPN GEREKLİ","SEÇİLDİ")))</f>
        <v/>
      </c>
      <c r="R68" s="7" t="inlineStr">
        <is>
          <t>TBD</t>
        </is>
      </c>
      <c r="S68" s="8" t="inlineStr">
        <is>
          <t>TBD</t>
        </is>
      </c>
    </row>
    <row r="69">
      <c r="A69" s="5" t="n">
        <v>68</v>
      </c>
      <c r="B69" s="5">
        <f>IF(C69="",0,LEN(C69)-LEN(SUBSTITUTE(C69,",",""))+1)</f>
        <v/>
      </c>
      <c r="C69" s="6" t="inlineStr">
        <is>
          <t>R12</t>
        </is>
      </c>
      <c r="D69" s="5" t="inlineStr">
        <is>
          <t>6k2</t>
        </is>
      </c>
      <c r="E69" s="6" t="inlineStr">
        <is>
          <t>Resistor</t>
        </is>
      </c>
      <c r="F69" s="5" t="inlineStr">
        <is>
          <t>0402 (1005 Metric)</t>
        </is>
      </c>
      <c r="G69" s="5" t="inlineStr">
        <is>
          <t>Resistor_SMD:R_0402_1005Metric</t>
        </is>
      </c>
      <c r="H69" s="7" t="inlineStr">
        <is>
          <t>TBD</t>
        </is>
      </c>
      <c r="I69" s="7" t="inlineStr">
        <is>
          <t>TBD</t>
        </is>
      </c>
      <c r="J69" s="5" t="inlineStr">
        <is>
          <t>Resistors</t>
        </is>
      </c>
      <c r="K69" s="5" t="inlineStr">
        <is>
          <t>Chip Resistor - Surface Mount</t>
        </is>
      </c>
      <c r="L69" s="5" t="inlineStr">
        <is>
          <t>Surface Mount</t>
        </is>
      </c>
      <c r="M69" s="7" t="inlineStr">
        <is>
          <t>TBD</t>
        </is>
      </c>
      <c r="N69" s="7" t="inlineStr">
        <is>
          <t>TBD</t>
        </is>
      </c>
      <c r="O69" s="5" t="inlineStr"/>
      <c r="P69" s="5" t="inlineStr">
        <is>
          <t>USB_PD_CONTROLLER</t>
        </is>
      </c>
      <c r="Q69" s="5">
        <f>IF(O69="EVET","DNP",IF(I69="N/A","SATIN ALINMAZ",IF(I69="TBD","MPN GEREKLİ","SEÇİLDİ")))</f>
        <v/>
      </c>
      <c r="R69" s="7" t="inlineStr">
        <is>
          <t>TBD</t>
        </is>
      </c>
      <c r="S69" s="8" t="inlineStr">
        <is>
          <t>TBD</t>
        </is>
      </c>
    </row>
    <row r="70">
      <c r="A70" s="5" t="n">
        <v>69</v>
      </c>
      <c r="B70" s="5">
        <f>IF(C70="",0,LEN(C70)-LEN(SUBSTITUTE(C70,",",""))+1)</f>
        <v/>
      </c>
      <c r="C70" s="6" t="inlineStr">
        <is>
          <t>R47</t>
        </is>
      </c>
      <c r="D70" s="5" t="inlineStr">
        <is>
          <t>78k7</t>
        </is>
      </c>
      <c r="E70" s="8" t="inlineStr">
        <is>
          <t>TBD</t>
        </is>
      </c>
      <c r="F70" s="5" t="inlineStr">
        <is>
          <t>0402 (1005 Metric)</t>
        </is>
      </c>
      <c r="G70" s="5" t="inlineStr">
        <is>
          <t>Resistor_SMD:R_0402_1005Metric</t>
        </is>
      </c>
      <c r="H70" s="7" t="inlineStr">
        <is>
          <t>TBD</t>
        </is>
      </c>
      <c r="I70" s="7" t="inlineStr">
        <is>
          <t>TBD</t>
        </is>
      </c>
      <c r="J70" s="5" t="inlineStr">
        <is>
          <t>Resistors</t>
        </is>
      </c>
      <c r="K70" s="5" t="inlineStr">
        <is>
          <t>Chip Resistor - Surface Mount</t>
        </is>
      </c>
      <c r="L70" s="5" t="inlineStr">
        <is>
          <t>Surface Mount</t>
        </is>
      </c>
      <c r="M70" s="7" t="inlineStr">
        <is>
          <t>TBD</t>
        </is>
      </c>
      <c r="N70" s="7" t="inlineStr">
        <is>
          <t>TBD</t>
        </is>
      </c>
      <c r="O70" s="5" t="inlineStr"/>
      <c r="P70" s="5" t="inlineStr">
        <is>
          <t>USB_PD_CONTROLLER</t>
        </is>
      </c>
      <c r="Q70" s="5">
        <f>IF(O70="EVET","DNP",IF(I70="N/A","SATIN ALINMAZ",IF(I70="TBD","MPN GEREKLİ","SEÇİLDİ")))</f>
        <v/>
      </c>
      <c r="R70" s="5" t="inlineStr">
        <is>
          <t>~</t>
        </is>
      </c>
      <c r="S70" s="8" t="inlineStr">
        <is>
          <t>TBD</t>
        </is>
      </c>
    </row>
    <row r="71">
      <c r="A71" s="5" t="n">
        <v>70</v>
      </c>
      <c r="B71" s="5">
        <f>IF(C71="",0,LEN(C71)-LEN(SUBSTITUTE(C71,",",""))+1)</f>
        <v/>
      </c>
      <c r="C71" s="6" t="inlineStr">
        <is>
          <t>R50</t>
        </is>
      </c>
      <c r="D71" s="5" t="inlineStr">
        <is>
          <t>820R</t>
        </is>
      </c>
      <c r="E71" s="8" t="inlineStr">
        <is>
          <t>TBD</t>
        </is>
      </c>
      <c r="F71" s="5" t="inlineStr">
        <is>
          <t>0402 (1005 Metric)</t>
        </is>
      </c>
      <c r="G71" s="5" t="inlineStr">
        <is>
          <t>Resistor_SMD:R_0402_1005Metric</t>
        </is>
      </c>
      <c r="H71" s="7" t="inlineStr">
        <is>
          <t>TBD</t>
        </is>
      </c>
      <c r="I71" s="7" t="inlineStr">
        <is>
          <t>TBD</t>
        </is>
      </c>
      <c r="J71" s="5" t="inlineStr">
        <is>
          <t>Resistors</t>
        </is>
      </c>
      <c r="K71" s="5" t="inlineStr">
        <is>
          <t>Chip Resistor - Surface Mount</t>
        </is>
      </c>
      <c r="L71" s="5" t="inlineStr">
        <is>
          <t>Surface Mount</t>
        </is>
      </c>
      <c r="M71" s="7" t="inlineStr">
        <is>
          <t>TBD</t>
        </is>
      </c>
      <c r="N71" s="7" t="inlineStr">
        <is>
          <t>TBD</t>
        </is>
      </c>
      <c r="O71" s="5" t="inlineStr"/>
      <c r="P71" s="5" t="inlineStr">
        <is>
          <t>USB_PD_CONTROLLER</t>
        </is>
      </c>
      <c r="Q71" s="5">
        <f>IF(O71="EVET","DNP",IF(I71="N/A","SATIN ALINMAZ",IF(I71="TBD","MPN GEREKLİ","SEÇİLDİ")))</f>
        <v/>
      </c>
      <c r="R71" s="5" t="inlineStr">
        <is>
          <t>~</t>
        </is>
      </c>
      <c r="S71" s="8" t="inlineStr">
        <is>
          <t>TBD</t>
        </is>
      </c>
    </row>
    <row r="72">
      <c r="A72" s="5" t="n">
        <v>71</v>
      </c>
      <c r="B72" s="5">
        <f>IF(C72="",0,LEN(C72)-LEN(SUBSTITUTE(C72,",",""))+1)</f>
        <v/>
      </c>
      <c r="C72" s="6" t="inlineStr">
        <is>
          <t>R49</t>
        </is>
      </c>
      <c r="D72" s="5" t="inlineStr">
        <is>
          <t>9k76</t>
        </is>
      </c>
      <c r="E72" s="8" t="inlineStr">
        <is>
          <t>TBD</t>
        </is>
      </c>
      <c r="F72" s="5" t="inlineStr">
        <is>
          <t>0402 (1005 Metric)</t>
        </is>
      </c>
      <c r="G72" s="5" t="inlineStr">
        <is>
          <t>Resistor_SMD:R_0402_1005Metric</t>
        </is>
      </c>
      <c r="H72" s="7" t="inlineStr">
        <is>
          <t>TBD</t>
        </is>
      </c>
      <c r="I72" s="7" t="inlineStr">
        <is>
          <t>TBD</t>
        </is>
      </c>
      <c r="J72" s="5" t="inlineStr">
        <is>
          <t>Resistors</t>
        </is>
      </c>
      <c r="K72" s="5" t="inlineStr">
        <is>
          <t>Chip Resistor - Surface Mount</t>
        </is>
      </c>
      <c r="L72" s="5" t="inlineStr">
        <is>
          <t>Surface Mount</t>
        </is>
      </c>
      <c r="M72" s="7" t="inlineStr">
        <is>
          <t>TBD</t>
        </is>
      </c>
      <c r="N72" s="7" t="inlineStr">
        <is>
          <t>TBD</t>
        </is>
      </c>
      <c r="O72" s="5" t="inlineStr"/>
      <c r="P72" s="5" t="inlineStr">
        <is>
          <t>USB_PD_CONTROLLER</t>
        </is>
      </c>
      <c r="Q72" s="5">
        <f>IF(O72="EVET","DNP",IF(I72="N/A","SATIN ALINMAZ",IF(I72="TBD","MPN GEREKLİ","SEÇİLDİ")))</f>
        <v/>
      </c>
      <c r="R72" s="5" t="inlineStr">
        <is>
          <t>~</t>
        </is>
      </c>
      <c r="S72" s="8" t="inlineStr">
        <is>
          <t>TBD</t>
        </is>
      </c>
    </row>
    <row r="73">
      <c r="A73" s="5" t="n">
        <v>72</v>
      </c>
      <c r="B73" s="5">
        <f>IF(C73="",0,LEN(C73)-LEN(SUBSTITUTE(C73,",",""))+1)</f>
        <v/>
      </c>
      <c r="C73" s="6" t="inlineStr">
        <is>
          <t>TH1</t>
        </is>
      </c>
      <c r="D73" s="5" t="inlineStr">
        <is>
          <t>10k NTC</t>
        </is>
      </c>
      <c r="E73" s="6" t="inlineStr">
        <is>
          <t>Temperature dependent resistor, negative temperature coefficient</t>
        </is>
      </c>
      <c r="F73" s="5" t="inlineStr">
        <is>
          <t>0402 (1005 Metric)</t>
        </is>
      </c>
      <c r="G73" s="5" t="inlineStr">
        <is>
          <t>Resistor_SMD:R_0402_1005Metric</t>
        </is>
      </c>
      <c r="H73" s="5" t="inlineStr">
        <is>
          <t>THINKING</t>
        </is>
      </c>
      <c r="I73" s="5" t="inlineStr">
        <is>
          <t>TSM0B103F3381RZ</t>
        </is>
      </c>
      <c r="J73" s="5" t="inlineStr">
        <is>
          <t>Sensors, Transducers</t>
        </is>
      </c>
      <c r="K73" s="5" t="inlineStr">
        <is>
          <t>Temperature Sensors - NTC Thermistors</t>
        </is>
      </c>
      <c r="L73" s="5" t="inlineStr">
        <is>
          <t>Surface Mount</t>
        </is>
      </c>
      <c r="M73" s="7" t="inlineStr">
        <is>
          <t>TBD</t>
        </is>
      </c>
      <c r="N73" s="7" t="inlineStr">
        <is>
          <t>TBD</t>
        </is>
      </c>
      <c r="O73" s="5" t="inlineStr"/>
      <c r="P73" s="5" t="inlineStr">
        <is>
          <t>USB_PD_CONTROLLER</t>
        </is>
      </c>
      <c r="Q73" s="5">
        <f>IF(O73="EVET","DNP",IF(I73="N/A","SATIN ALINMAZ",IF(I73="TBD","MPN GEREKLİ","SEÇİLDİ")))</f>
        <v/>
      </c>
      <c r="R73" s="7" t="inlineStr">
        <is>
          <t>TBD</t>
        </is>
      </c>
      <c r="S73" s="6" t="inlineStr">
        <is>
          <t>10 kOhm, B25/50=3380 K, 0402. Tedarik: Ozdisan.</t>
        </is>
      </c>
    </row>
    <row r="74">
      <c r="A74" s="5" t="n">
        <v>73</v>
      </c>
      <c r="B74" s="5">
        <f>IF(C74="",0,LEN(C74)-LEN(SUBSTITUTE(C74,",",""))+1)</f>
        <v/>
      </c>
      <c r="C74" s="6" t="inlineStr">
        <is>
          <t>J5</t>
        </is>
      </c>
      <c r="D74" s="5" t="inlineStr">
        <is>
          <t>108-0902-001</t>
        </is>
      </c>
      <c r="E74" s="6" t="inlineStr">
        <is>
          <t>Generic connector, single row, 01x01, script generated (kicad-library-utils/schlib/autogen/connector/)</t>
        </is>
      </c>
      <c r="F74" s="5" t="inlineStr">
        <is>
          <t>Panel Mount Binding Post</t>
        </is>
      </c>
      <c r="G74" s="5" t="inlineStr">
        <is>
          <t>Power_Output_Custom:Cinch_108-0902-001_Panel</t>
        </is>
      </c>
      <c r="H74" s="5" t="inlineStr">
        <is>
          <t>Cinch Johnson</t>
        </is>
      </c>
      <c r="I74" s="5" t="inlineStr">
        <is>
          <t>108-0902-001</t>
        </is>
      </c>
      <c r="J74" s="5" t="inlineStr">
        <is>
          <t>Connectors, Interconnects</t>
        </is>
      </c>
      <c r="K74" s="5" t="inlineStr">
        <is>
          <t>-</t>
        </is>
      </c>
      <c r="L74" s="5" t="inlineStr">
        <is>
          <t>Mechanical</t>
        </is>
      </c>
      <c r="M74" s="7" t="inlineStr">
        <is>
          <t>TBD</t>
        </is>
      </c>
      <c r="N74" s="7" t="inlineStr">
        <is>
          <t>TBD</t>
        </is>
      </c>
      <c r="O74" s="5" t="inlineStr"/>
      <c r="P74" s="5" t="inlineStr">
        <is>
          <t>USB_PD_CONTROLLER</t>
        </is>
      </c>
      <c r="Q74" s="5">
        <f>IF(O74="EVET","DNP",IF(I74="N/A","SATIN ALINMAZ",IF(I74="TBD","MPN GEREKLİ","SEÇİLDİ")))</f>
        <v/>
      </c>
      <c r="R74" s="7" t="inlineStr">
        <is>
          <t>TBD</t>
        </is>
      </c>
      <c r="S74" s="6" t="inlineStr">
        <is>
          <t>PANEL MOUNT; J4'e kablo ile gider, kart uzerinde yalniz mekanik ayak.</t>
        </is>
      </c>
    </row>
    <row r="75">
      <c r="A75" s="5" t="n">
        <v>74</v>
      </c>
      <c r="B75" s="5">
        <f>IF(C75="",0,LEN(C75)-LEN(SUBSTITUTE(C75,",",""))+1)</f>
        <v/>
      </c>
      <c r="C75" s="6" t="inlineStr">
        <is>
          <t>J6</t>
        </is>
      </c>
      <c r="D75" s="5" t="inlineStr">
        <is>
          <t>108-0903-001</t>
        </is>
      </c>
      <c r="E75" s="6" t="inlineStr">
        <is>
          <t>Generic connector, single row, 01x01, script generated (kicad-library-utils/schlib/autogen/connector/)</t>
        </is>
      </c>
      <c r="F75" s="5" t="inlineStr">
        <is>
          <t>Panel Mount Binding Post</t>
        </is>
      </c>
      <c r="G75" s="5" t="inlineStr">
        <is>
          <t>Power_Output_Custom:Cinch_108-0903-001_Panel</t>
        </is>
      </c>
      <c r="H75" s="5" t="inlineStr">
        <is>
          <t>Cinch Johnson</t>
        </is>
      </c>
      <c r="I75" s="5" t="inlineStr">
        <is>
          <t>108-0903-001</t>
        </is>
      </c>
      <c r="J75" s="5" t="inlineStr">
        <is>
          <t>Connectors, Interconnects</t>
        </is>
      </c>
      <c r="K75" s="5" t="inlineStr">
        <is>
          <t>-</t>
        </is>
      </c>
      <c r="L75" s="5" t="inlineStr">
        <is>
          <t>Mechanical</t>
        </is>
      </c>
      <c r="M75" s="7" t="inlineStr">
        <is>
          <t>TBD</t>
        </is>
      </c>
      <c r="N75" s="7" t="inlineStr">
        <is>
          <t>TBD</t>
        </is>
      </c>
      <c r="O75" s="5" t="inlineStr"/>
      <c r="P75" s="5" t="inlineStr">
        <is>
          <t>USB_PD_CONTROLLER</t>
        </is>
      </c>
      <c r="Q75" s="5">
        <f>IF(O75="EVET","DNP",IF(I75="N/A","SATIN ALINMAZ",IF(I75="TBD","MPN GEREKLİ","SEÇİLDİ")))</f>
        <v/>
      </c>
      <c r="R75" s="7" t="inlineStr">
        <is>
          <t>TBD</t>
        </is>
      </c>
      <c r="S75" s="6" t="inlineStr">
        <is>
          <t>PANEL MOUNT; J4'e kablo ile gider, kart uzerinde yalniz mekanik ayak.</t>
        </is>
      </c>
    </row>
    <row r="76">
      <c r="A76" s="5" t="n">
        <v>75</v>
      </c>
      <c r="B76" s="5">
        <f>IF(C76="",0,LEN(C76)-LEN(SUBSTITUTE(C76,",",""))+1)</f>
        <v/>
      </c>
      <c r="C76" s="6" t="inlineStr">
        <is>
          <t>J4</t>
        </is>
      </c>
      <c r="D76" s="5" t="inlineStr">
        <is>
          <t>DG142R-5.08-02P-14-00AH</t>
        </is>
      </c>
      <c r="E76" s="6" t="inlineStr">
        <is>
          <t>DG142R right-angle 2-position terminal block, 5.08 mm pitch</t>
        </is>
      </c>
      <c r="F76" s="5" t="inlineStr">
        <is>
          <t>5.08mm 2-pos THT</t>
        </is>
      </c>
      <c r="G76" s="5" t="inlineStr">
        <is>
          <t>DG142R-5.08-02P-14-00AH:DG142R-5.08-02P-14-00AH</t>
        </is>
      </c>
      <c r="H76" s="5" t="inlineStr">
        <is>
          <t>DEGSON</t>
        </is>
      </c>
      <c r="I76" s="5" t="inlineStr">
        <is>
          <t>DG142R-5.08-02P-14-00AH</t>
        </is>
      </c>
      <c r="J76" s="5" t="inlineStr">
        <is>
          <t>Connectors, Interconnects</t>
        </is>
      </c>
      <c r="K76" s="5" t="inlineStr">
        <is>
          <t>Terminal Blocks</t>
        </is>
      </c>
      <c r="L76" s="5" t="inlineStr">
        <is>
          <t>Through Hole</t>
        </is>
      </c>
      <c r="M76" s="7" t="inlineStr">
        <is>
          <t>TBD</t>
        </is>
      </c>
      <c r="N76" s="7" t="inlineStr">
        <is>
          <t>TBD</t>
        </is>
      </c>
      <c r="O76" s="5" t="inlineStr"/>
      <c r="P76" s="5" t="inlineStr">
        <is>
          <t>USB_PD_CONTROLLER</t>
        </is>
      </c>
      <c r="Q76" s="5">
        <f>IF(O76="EVET","DNP",IF(I76="N/A","SATIN ALINMAZ",IF(I76="TBD","MPN GEREKLİ","SEÇİLDİ")))</f>
        <v/>
      </c>
      <c r="R76" s="7" t="inlineStr">
        <is>
          <t>TBD</t>
        </is>
      </c>
      <c r="S76" s="6" t="inlineStr">
        <is>
          <t>2 kutuplu 5.08 mm klemens; cikis terminali.</t>
        </is>
      </c>
    </row>
    <row r="77">
      <c r="A77" s="5" t="n">
        <v>76</v>
      </c>
      <c r="B77" s="5">
        <f>IF(C77="",0,LEN(C77)-LEN(SUBSTITUTE(C77,",",""))+1)</f>
        <v/>
      </c>
      <c r="C77" s="6" t="inlineStr">
        <is>
          <t>J3</t>
        </is>
      </c>
      <c r="D77" s="5" t="inlineStr">
        <is>
          <t>NHD-2.4-240320AF-CSXP</t>
        </is>
      </c>
      <c r="E77" s="6" t="inlineStr">
        <is>
          <t>Generic connector, single row, 01x40, script generated (kicad-library-utils/schlib/autogen/connector/)</t>
        </is>
      </c>
      <c r="F77" s="5" t="inlineStr">
        <is>
          <t>FPC 0.5mm 40-pos SMD</t>
        </is>
      </c>
      <c r="G77" s="5" t="inlineStr">
        <is>
          <t>Molex_541324062:CON_541324062_MOL</t>
        </is>
      </c>
      <c r="H77" s="5" t="inlineStr">
        <is>
          <t>Molex</t>
        </is>
      </c>
      <c r="I77" s="5" t="inlineStr">
        <is>
          <t>54132-4062</t>
        </is>
      </c>
      <c r="J77" s="5" t="inlineStr">
        <is>
          <t>Connectors, Interconnects</t>
        </is>
      </c>
      <c r="K77" s="5" t="inlineStr">
        <is>
          <t>-</t>
        </is>
      </c>
      <c r="L77" s="5" t="inlineStr">
        <is>
          <t>Surface Mount</t>
        </is>
      </c>
      <c r="M77" s="7" t="inlineStr">
        <is>
          <t>TBD</t>
        </is>
      </c>
      <c r="N77" s="7" t="inlineStr">
        <is>
          <t>TBD</t>
        </is>
      </c>
      <c r="O77" s="5" t="inlineStr"/>
      <c r="P77" s="5" t="inlineStr">
        <is>
          <t>USER INTERFACE</t>
        </is>
      </c>
      <c r="Q77" s="5">
        <f>IF(O77="EVET","DNP",IF(I77="N/A","SATIN ALINMAZ",IF(I77="TBD","MPN GEREKLİ","SEÇİLDİ")))</f>
        <v/>
      </c>
      <c r="R77" s="7" t="inlineStr">
        <is>
          <t>TBD</t>
        </is>
      </c>
      <c r="S77" s="6" t="inlineStr">
        <is>
          <t>TFT modulu (NHD-2.4-240320AF-CSXP) bu konnektore takilir; modul BOM'da ayri satirdir.</t>
        </is>
      </c>
    </row>
    <row r="78">
      <c r="A78" s="5" t="n">
        <v>77</v>
      </c>
      <c r="B78" s="5">
        <f>IF(C78="",0,LEN(C78)-LEN(SUBSTITUTE(C78,",",""))+1)</f>
        <v/>
      </c>
      <c r="C78" s="6" t="inlineStr">
        <is>
          <t>J7</t>
        </is>
      </c>
      <c r="D78" s="5" t="inlineStr">
        <is>
          <t>USB_C_Receptacle_USB2.0_16P</t>
        </is>
      </c>
      <c r="E78" s="6" t="inlineStr">
        <is>
          <t>USB 2.0-only 16P Type-C Receptacle connector</t>
        </is>
      </c>
      <c r="F78" s="5" t="inlineStr">
        <is>
          <t>USB-C 16P Top Mount Horizontal</t>
        </is>
      </c>
      <c r="G78" s="5" t="inlineStr">
        <is>
          <t>Connector_USB:USB_C_Receptacle_GCT_USB4105-xx-A_16P_TopMnt_Horizontal</t>
        </is>
      </c>
      <c r="H78" s="5" t="inlineStr">
        <is>
          <t>GCT</t>
        </is>
      </c>
      <c r="I78" s="5" t="inlineStr">
        <is>
          <t>USB4105-GF-A</t>
        </is>
      </c>
      <c r="J78" s="5" t="inlineStr">
        <is>
          <t>Connectors, Interconnects</t>
        </is>
      </c>
      <c r="K78" s="5" t="inlineStr">
        <is>
          <t>USB, DVI, HDMI Connectors</t>
        </is>
      </c>
      <c r="L78" s="5" t="inlineStr">
        <is>
          <t>Surface Mount</t>
        </is>
      </c>
      <c r="M78" s="7" t="inlineStr">
        <is>
          <t>TBD</t>
        </is>
      </c>
      <c r="N78" s="7" t="inlineStr">
        <is>
          <t>TBD</t>
        </is>
      </c>
      <c r="O78" s="5" t="inlineStr"/>
      <c r="P78" s="5" t="inlineStr">
        <is>
          <t>USB_C_INPUT</t>
        </is>
      </c>
      <c r="Q78" s="5">
        <f>IF(O78="EVET","DNP",IF(I78="N/A","SATIN ALINMAZ",IF(I78="TBD","MPN GEREKLİ","SEÇİLDİ")))</f>
        <v/>
      </c>
      <c r="R78" s="5" t="inlineStr">
        <is>
          <t>https://www.usb.org/sites/default/files/documents/usb_type-c.zip</t>
        </is>
      </c>
      <c r="S78" s="8" t="inlineStr">
        <is>
          <t>TBD</t>
        </is>
      </c>
    </row>
    <row r="79">
      <c r="A79" s="5" t="n">
        <v>78</v>
      </c>
      <c r="B79" s="5">
        <f>IF(C79="",0,LEN(C79)-LEN(SUBSTITUTE(C79,",",""))+1)</f>
        <v/>
      </c>
      <c r="C79" s="6" t="inlineStr">
        <is>
          <t>SW1</t>
        </is>
      </c>
      <c r="D79" s="5" t="inlineStr">
        <is>
          <t>BOOT / PTS810</t>
        </is>
      </c>
      <c r="E79" s="6" t="inlineStr">
        <is>
          <t>Push button switch, generic, two pins</t>
        </is>
      </c>
      <c r="F79" s="5" t="inlineStr">
        <is>
          <t>PTS810 SMD (4.2x3.2mm)</t>
        </is>
      </c>
      <c r="G79" s="5" t="inlineStr">
        <is>
          <t>Button_Switch_SMD:SW_SPST_PTS810</t>
        </is>
      </c>
      <c r="H79" s="5" t="inlineStr">
        <is>
          <t>C&amp;K</t>
        </is>
      </c>
      <c r="I79" s="5" t="inlineStr">
        <is>
          <t>PTS810 SJS 250 SMTR LFS</t>
        </is>
      </c>
      <c r="J79" s="5" t="inlineStr">
        <is>
          <t>Switches</t>
        </is>
      </c>
      <c r="K79" s="5" t="inlineStr">
        <is>
          <t>Rotary Encoders / Tactile Switches</t>
        </is>
      </c>
      <c r="L79" s="5" t="inlineStr">
        <is>
          <t>Surface Mount</t>
        </is>
      </c>
      <c r="M79" s="7" t="inlineStr">
        <is>
          <t>TBD</t>
        </is>
      </c>
      <c r="N79" s="7" t="inlineStr">
        <is>
          <t>TBD</t>
        </is>
      </c>
      <c r="O79" s="5" t="inlineStr"/>
      <c r="P79" s="5" t="inlineStr">
        <is>
          <t>MCU</t>
        </is>
      </c>
      <c r="Q79" s="5">
        <f>IF(O79="EVET","DNP",IF(I79="N/A","SATIN ALINMAZ",IF(I79="TBD","MPN GEREKLİ","SEÇİLDİ")))</f>
        <v/>
      </c>
      <c r="R79" s="7" t="inlineStr">
        <is>
          <t>TBD</t>
        </is>
      </c>
      <c r="S79" s="6" t="inlineStr">
        <is>
          <t>BOOT butonu; 4.2x3.2 mm SMD. Tedarik: Ozdisan.</t>
        </is>
      </c>
    </row>
    <row r="80">
      <c r="A80" s="5" t="n">
        <v>79</v>
      </c>
      <c r="B80" s="5">
        <f>IF(C80="",0,LEN(C80)-LEN(SUBSTITUTE(C80,",",""))+1)</f>
        <v/>
      </c>
      <c r="C80" s="6" t="inlineStr">
        <is>
          <t>SW3</t>
        </is>
      </c>
      <c r="D80" s="5" t="inlineStr">
        <is>
          <t>L-KLS4-EC1121S-E5A-F12.5</t>
        </is>
      </c>
      <c r="E80" s="6" t="inlineStr">
        <is>
          <t>11 mm incremental rotary encoder, 15 pulses/30 detents, momentary push switch, F-shaft L=12.5 mm</t>
        </is>
      </c>
      <c r="F80" s="5" t="inlineStr">
        <is>
          <t>EC1121S Vertical THT</t>
        </is>
      </c>
      <c r="G80" s="5" t="inlineStr">
        <is>
          <t>L-KLS4-EC1121S-E5A-F12.5:L-KLS4-EC1121S-E5A-F12.5</t>
        </is>
      </c>
      <c r="H80" s="5" t="inlineStr">
        <is>
          <t>KLS Electronic</t>
        </is>
      </c>
      <c r="I80" s="5" t="inlineStr">
        <is>
          <t>L-KLS4-EC1121S-E5A-F12.5</t>
        </is>
      </c>
      <c r="J80" s="5" t="inlineStr">
        <is>
          <t>Switches</t>
        </is>
      </c>
      <c r="K80" s="5" t="inlineStr">
        <is>
          <t>Rotary Encoders / Tactile Switches</t>
        </is>
      </c>
      <c r="L80" s="5" t="inlineStr">
        <is>
          <t>Through Hole</t>
        </is>
      </c>
      <c r="M80" s="7" t="inlineStr">
        <is>
          <t>TBD</t>
        </is>
      </c>
      <c r="N80" s="7" t="inlineStr">
        <is>
          <t>TBD</t>
        </is>
      </c>
      <c r="O80" s="5" t="inlineStr"/>
      <c r="P80" s="5" t="inlineStr">
        <is>
          <t>USER INTERFACE</t>
        </is>
      </c>
      <c r="Q80" s="5">
        <f>IF(O80="EVET","DNP",IF(I80="N/A","SATIN ALINMAZ",IF(I80="TBD","MPN GEREKLİ","SEÇİLDİ")))</f>
        <v/>
      </c>
      <c r="R80" s="5" t="inlineStr">
        <is>
          <t>${KIPRJMOD}/datasheets/L-KLS4-EC1121S-E5A-F12.5.pdf</t>
        </is>
      </c>
      <c r="S80" s="8" t="inlineStr">
        <is>
          <t>TBD</t>
        </is>
      </c>
    </row>
    <row r="81">
      <c r="A81" s="5" t="n">
        <v>80</v>
      </c>
      <c r="B81" s="5">
        <f>IF(C81="",0,LEN(C81)-LEN(SUBSTITUTE(C81,",",""))+1)</f>
        <v/>
      </c>
      <c r="C81" s="6" t="inlineStr">
        <is>
          <t>SW2</t>
        </is>
      </c>
      <c r="D81" s="5" t="inlineStr">
        <is>
          <t>RESET / PTS810</t>
        </is>
      </c>
      <c r="E81" s="6" t="inlineStr">
        <is>
          <t>Push button switch, generic, two pins</t>
        </is>
      </c>
      <c r="F81" s="5" t="inlineStr">
        <is>
          <t>PTS810 SMD (4.2x3.2mm)</t>
        </is>
      </c>
      <c r="G81" s="5" t="inlineStr">
        <is>
          <t>Button_Switch_SMD:SW_SPST_PTS810</t>
        </is>
      </c>
      <c r="H81" s="5" t="inlineStr">
        <is>
          <t>C&amp;K</t>
        </is>
      </c>
      <c r="I81" s="5" t="inlineStr">
        <is>
          <t>PTS810 SJS 250 SMTR LFS</t>
        </is>
      </c>
      <c r="J81" s="5" t="inlineStr">
        <is>
          <t>Switches</t>
        </is>
      </c>
      <c r="K81" s="5" t="inlineStr">
        <is>
          <t>Rotary Encoders / Tactile Switches</t>
        </is>
      </c>
      <c r="L81" s="5" t="inlineStr">
        <is>
          <t>Surface Mount</t>
        </is>
      </c>
      <c r="M81" s="7" t="inlineStr">
        <is>
          <t>TBD</t>
        </is>
      </c>
      <c r="N81" s="7" t="inlineStr">
        <is>
          <t>TBD</t>
        </is>
      </c>
      <c r="O81" s="5" t="inlineStr"/>
      <c r="P81" s="5" t="inlineStr">
        <is>
          <t>MCU</t>
        </is>
      </c>
      <c r="Q81" s="5">
        <f>IF(O81="EVET","DNP",IF(I81="N/A","SATIN ALINMAZ",IF(I81="TBD","MPN GEREKLİ","SEÇİLDİ")))</f>
        <v/>
      </c>
      <c r="R81" s="7" t="inlineStr">
        <is>
          <t>TBD</t>
        </is>
      </c>
      <c r="S81" s="6" t="inlineStr">
        <is>
          <t>RESET butonu; 4.2x3.2 mm SMD. Tedarik: Ozdisan.</t>
        </is>
      </c>
    </row>
    <row r="82">
      <c r="A82" s="5" t="n">
        <v>81</v>
      </c>
      <c r="B82" s="5">
        <f>IF(C82="",0,LEN(C82)-LEN(SUBSTITUTE(C82,",",""))+1)</f>
        <v/>
      </c>
      <c r="C82" s="6" t="inlineStr">
        <is>
          <t>BT1</t>
        </is>
      </c>
      <c r="D82" s="5" t="inlineStr">
        <is>
          <t>CR2032 holder</t>
        </is>
      </c>
      <c r="E82" s="6" t="inlineStr">
        <is>
          <t>Single-cell battery</t>
        </is>
      </c>
      <c r="F82" s="5" t="inlineStr">
        <is>
          <t>CR2032 Holder SMD</t>
        </is>
      </c>
      <c r="G82" s="5" t="inlineStr">
        <is>
          <t>Power_Output_Custom:KLS_CR2032_05</t>
        </is>
      </c>
      <c r="H82" s="5" t="inlineStr">
        <is>
          <t>KLS Electronic</t>
        </is>
      </c>
      <c r="I82" s="5" t="inlineStr">
        <is>
          <t>L-KLS5-CR2032-05-R1</t>
        </is>
      </c>
      <c r="J82" s="5" t="inlineStr">
        <is>
          <t>Battery Products</t>
        </is>
      </c>
      <c r="K82" s="5" t="inlineStr">
        <is>
          <t>Batteries / Battery Holders</t>
        </is>
      </c>
      <c r="L82" s="5" t="inlineStr">
        <is>
          <t>Surface Mount</t>
        </is>
      </c>
      <c r="M82" s="7" t="inlineStr">
        <is>
          <t>TBD</t>
        </is>
      </c>
      <c r="N82" s="7" t="inlineStr">
        <is>
          <t>TBD</t>
        </is>
      </c>
      <c r="O82" s="5" t="inlineStr"/>
      <c r="P82" s="5" t="inlineStr">
        <is>
          <t>MCU</t>
        </is>
      </c>
      <c r="Q82" s="5">
        <f>IF(O82="EVET","DNP",IF(I82="N/A","SATIN ALINMAZ",IF(I82="TBD","MPN GEREKLİ","SEÇİLDİ")))</f>
        <v/>
      </c>
      <c r="R82" s="5" t="inlineStr">
        <is>
          <t>https://img.klsele.com/admin/product_upload/20250408144415L-KLS5-CR2032-05.pdf</t>
        </is>
      </c>
      <c r="S82" s="6" t="inlineStr">
        <is>
          <t>CR2032 3V primary; hucre ayri satin alinir. RTC trickle charge KAPALI olmalidir.</t>
        </is>
      </c>
    </row>
    <row r="83">
      <c r="A83" s="5" t="n">
        <v>82</v>
      </c>
      <c r="B83" s="5">
        <f>IF(C83="",0,LEN(C83)-LEN(SUBSTITUTE(C83,",",""))+1)</f>
        <v/>
      </c>
      <c r="C83" s="6" t="inlineStr">
        <is>
          <t>TP1, TP2, TP3, TP4, TP5, TP6, TP7, TP8, TP9, TP10, TP11, TP12, TP13</t>
        </is>
      </c>
      <c r="D83" s="5" t="inlineStr">
        <is>
          <t>TestPoint</t>
        </is>
      </c>
      <c r="E83" s="6" t="inlineStr">
        <is>
          <t>test point</t>
        </is>
      </c>
      <c r="F83" s="5" t="inlineStr">
        <is>
          <t>SMD Pad D1.0mm</t>
        </is>
      </c>
      <c r="G83" s="5" t="inlineStr">
        <is>
          <t>TestPoint:TestPoint_Pad_D1.0mm</t>
        </is>
      </c>
      <c r="H83" s="5" t="inlineStr">
        <is>
          <t>N/A</t>
        </is>
      </c>
      <c r="I83" s="5" t="inlineStr">
        <is>
          <t>N/A</t>
        </is>
      </c>
      <c r="J83" s="5" t="inlineStr">
        <is>
          <t>Test and Measurement</t>
        </is>
      </c>
      <c r="K83" s="5" t="inlineStr">
        <is>
          <t>Test Points</t>
        </is>
      </c>
      <c r="L83" s="5" t="inlineStr">
        <is>
          <t>Surface Mount</t>
        </is>
      </c>
      <c r="M83" s="5" t="inlineStr">
        <is>
          <t>N/A</t>
        </is>
      </c>
      <c r="N83" s="5" t="inlineStr">
        <is>
          <t>N/A</t>
        </is>
      </c>
      <c r="O83" s="5" t="inlineStr"/>
      <c r="P83" s="5" t="inlineStr">
        <is>
          <t>MCU, USB_PD_CONTROLLER</t>
        </is>
      </c>
      <c r="Q83" s="5">
        <f>IF(O83="EVET","DNP",IF(I83="N/A","SATIN ALINMAZ",IF(I83="TBD","MPN GEREKLİ","SEÇİLDİ")))</f>
        <v/>
      </c>
      <c r="R83" s="5" t="inlineStr">
        <is>
          <t>TBD | ~</t>
        </is>
      </c>
      <c r="S83" s="6" t="inlineStr">
        <is>
          <t>1.0 mm SMD test pedi; satin alinan parca degildir.</t>
        </is>
      </c>
    </row>
    <row r="85">
      <c r="A85" s="11" t="inlineStr">
        <is>
          <t>ÖZET</t>
        </is>
      </c>
    </row>
    <row r="86">
      <c r="A86" s="2" t="inlineStr">
        <is>
          <t>Sipariş satırı</t>
        </is>
      </c>
      <c r="B86" s="12">
        <f>COUNTA(A2:A83)</f>
        <v/>
      </c>
    </row>
    <row r="87">
      <c r="A87" s="2" t="inlineStr">
        <is>
          <t>Toplam komponent (DNP dahil)</t>
        </is>
      </c>
      <c r="B87" s="12">
        <f>SUM(B2:B83)</f>
        <v/>
      </c>
    </row>
    <row r="88">
      <c r="A88" s="2" t="inlineStr">
        <is>
          <t>DNP adedi</t>
        </is>
      </c>
      <c r="B88" s="12">
        <f>SUMIF(O2:O83,"EVET",B2:B83)</f>
        <v/>
      </c>
    </row>
    <row r="89">
      <c r="A89" s="2" t="inlineStr">
        <is>
          <t>Dizilecek komponent</t>
        </is>
      </c>
      <c r="B89" s="12">
        <f>SUM(B2:B83)-SUMIF(O2:O83,"EVET",B2:B83)</f>
        <v/>
      </c>
    </row>
    <row r="90">
      <c r="A90" s="2" t="inlineStr">
        <is>
          <t>MPN bekleyen satır</t>
        </is>
      </c>
      <c r="B90" s="12">
        <f>COUNTIF(Q2:Q83,"MPN GEREKLİ")</f>
        <v/>
      </c>
    </row>
    <row r="91">
      <c r="A91" s="2" t="inlineStr">
        <is>
          <t>MPN seçilmiş satır</t>
        </is>
      </c>
      <c r="B91" s="12">
        <f>COUNTIF(Q2:Q83,"SEÇİLDİ")</f>
        <v/>
      </c>
    </row>
    <row r="92">
      <c r="A92" s="2" t="inlineStr">
        <is>
          <t>Satın alınmayan satır</t>
        </is>
      </c>
      <c r="B92" s="12">
        <f>COUNTIF(Q2:Q83,"SATIN ALINMAZ")</f>
        <v/>
      </c>
    </row>
    <row r="94">
      <c r="A94" s="13" t="inlineStr">
        <is>
          <t>Adet sütunu Referanslar hücresindeki virgülleri sayar; referans listesini düzenlersen adet kendiliğinden güncellenir.</t>
        </is>
      </c>
    </row>
  </sheetData>
  <autoFilter ref="A1:S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34" customWidth="1" min="4" max="4"/>
    <col width="22" customWidth="1" min="5" max="5"/>
    <col width="26" customWidth="1" min="6" max="6"/>
    <col width="22" customWidth="1" min="7" max="7"/>
    <col width="6" customWidth="1" min="8" max="8"/>
    <col width="10" customWidth="1" min="9" max="9"/>
    <col width="24" customWidth="1" min="10" max="10"/>
    <col width="30" customWidth="1" min="11" max="11"/>
  </cols>
  <sheetData>
    <row r="1" ht="30" customHeight="1">
      <c r="A1" s="4" t="inlineStr">
        <is>
          <t>Referans</t>
        </is>
      </c>
      <c r="B1" s="4" t="inlineStr">
        <is>
          <t>BOM #</t>
        </is>
      </c>
      <c r="C1" s="4" t="inlineStr">
        <is>
          <t>Value</t>
        </is>
      </c>
      <c r="D1" s="4" t="inlineStr">
        <is>
          <t>Footprint</t>
        </is>
      </c>
      <c r="E1" s="4" t="inlineStr">
        <is>
          <t>Üretici</t>
        </is>
      </c>
      <c r="F1" s="4" t="inlineStr">
        <is>
          <t>MPN</t>
        </is>
      </c>
      <c r="G1" s="4" t="inlineStr">
        <is>
          <t>Sayfa</t>
        </is>
      </c>
      <c r="H1" s="4" t="inlineStr">
        <is>
          <t>DNP</t>
        </is>
      </c>
      <c r="I1" s="4" t="inlineStr">
        <is>
          <t>Grup</t>
        </is>
      </c>
      <c r="J1" s="4" t="inlineStr">
        <is>
          <t>Kategori</t>
        </is>
      </c>
      <c r="K1" s="4" t="inlineStr">
        <is>
          <t>Alt Kategori</t>
        </is>
      </c>
    </row>
    <row r="2">
      <c r="A2" s="14" t="inlineStr">
        <is>
          <t>U1</t>
        </is>
      </c>
      <c r="B2" s="14" t="n">
        <v>2</v>
      </c>
      <c r="C2" s="14" t="inlineStr">
        <is>
          <t>AP33772SDKZ-13-FA02</t>
        </is>
      </c>
      <c r="D2" s="14" t="inlineStr">
        <is>
          <t>Package_DFN_QFN:Texas_RTW_WQFN-24-1EP_4x4mm_P0.5mm_EP2.7x2.7mm</t>
        </is>
      </c>
      <c r="E2" s="14" t="inlineStr">
        <is>
          <t>Diodes Incorporated</t>
        </is>
      </c>
      <c r="F2" s="14" t="inlineStr">
        <is>
          <t>AP33772SDKZ-13-FA02</t>
        </is>
      </c>
      <c r="G2" s="14" t="inlineStr">
        <is>
          <t>USB_PD_CONTROLLER</t>
        </is>
      </c>
      <c r="H2" s="14" t="inlineStr"/>
      <c r="I2" s="14" t="inlineStr">
        <is>
          <t>U-PD</t>
        </is>
      </c>
      <c r="J2" s="14" t="inlineStr">
        <is>
          <t>Integrated Circuits</t>
        </is>
      </c>
      <c r="K2" s="14" t="inlineStr">
        <is>
          <t>Interface - Specialized (USB PD)</t>
        </is>
      </c>
    </row>
    <row r="3">
      <c r="A3" s="14" t="inlineStr">
        <is>
          <t>U2</t>
        </is>
      </c>
      <c r="B3" s="14" t="n">
        <v>5</v>
      </c>
      <c r="C3" s="14" t="inlineStr">
        <is>
          <t>ESP32-C6-WROOM-1</t>
        </is>
      </c>
      <c r="D3" s="14" t="inlineStr">
        <is>
          <t>PCM_Espressif:ESP32-C6-WROOM-1</t>
        </is>
      </c>
      <c r="E3" s="14" t="inlineStr">
        <is>
          <t>Espressif Systems</t>
        </is>
      </c>
      <c r="F3" s="14" t="inlineStr">
        <is>
          <t>ESP32-C6-WROOM-1</t>
        </is>
      </c>
      <c r="G3" s="14" t="inlineStr">
        <is>
          <t>MCU</t>
        </is>
      </c>
      <c r="H3" s="14" t="inlineStr"/>
      <c r="I3" s="14" t="inlineStr">
        <is>
          <t>U-MCU</t>
        </is>
      </c>
      <c r="J3" s="14" t="inlineStr">
        <is>
          <t>Integrated Circuits</t>
        </is>
      </c>
      <c r="K3" s="14" t="inlineStr">
        <is>
          <t>Embedded - Microcontrollers / RF Modules</t>
        </is>
      </c>
    </row>
    <row r="4">
      <c r="A4" s="14" t="inlineStr">
        <is>
          <t>U3</t>
        </is>
      </c>
      <c r="B4" s="14" t="n">
        <v>6</v>
      </c>
      <c r="C4" s="14" t="inlineStr">
        <is>
          <t>INA228</t>
        </is>
      </c>
      <c r="D4" s="14" t="inlineStr">
        <is>
          <t>Package_SO:TSSOP-10_3x3mm_P0.5mm</t>
        </is>
      </c>
      <c r="E4" s="14" t="inlineStr">
        <is>
          <t>Texas Instruments</t>
        </is>
      </c>
      <c r="F4" s="14" t="inlineStr">
        <is>
          <t>INA228AIDGSR</t>
        </is>
      </c>
      <c r="G4" s="14" t="inlineStr">
        <is>
          <t>USB_PD_CONTROLLER</t>
        </is>
      </c>
      <c r="H4" s="14" t="inlineStr"/>
      <c r="I4" s="14" t="inlineStr">
        <is>
          <t>U-ANA</t>
        </is>
      </c>
      <c r="J4" s="14" t="inlineStr">
        <is>
          <t>Integrated Circuits</t>
        </is>
      </c>
      <c r="K4" s="14" t="inlineStr">
        <is>
          <t>Linear - Amplifiers / Data Acquisition</t>
        </is>
      </c>
    </row>
    <row r="5">
      <c r="A5" s="14" t="inlineStr">
        <is>
          <t>U4</t>
        </is>
      </c>
      <c r="B5" s="14" t="n">
        <v>7</v>
      </c>
      <c r="C5" s="14" t="inlineStr">
        <is>
          <t>RV-3028-C7</t>
        </is>
      </c>
      <c r="D5" s="14" t="inlineStr">
        <is>
          <t>Package_SON:MicroCrystal_C7_SON-8_1.5x3.2mm_P0.9mm</t>
        </is>
      </c>
      <c r="E5" s="14" t="inlineStr">
        <is>
          <t>Micro Crystal</t>
        </is>
      </c>
      <c r="F5" s="14" t="inlineStr">
        <is>
          <t>RV-3028-C7</t>
        </is>
      </c>
      <c r="G5" s="14" t="inlineStr">
        <is>
          <t>MCU</t>
        </is>
      </c>
      <c r="H5" s="14" t="inlineStr"/>
      <c r="I5" s="14" t="inlineStr">
        <is>
          <t>U-DIG</t>
        </is>
      </c>
      <c r="J5" s="14" t="inlineStr">
        <is>
          <t>Integrated Circuits</t>
        </is>
      </c>
      <c r="K5" s="14" t="inlineStr">
        <is>
          <t>Logic / Memory / Clock-Timing</t>
        </is>
      </c>
    </row>
    <row r="6">
      <c r="A6" s="14" t="inlineStr">
        <is>
          <t>U5</t>
        </is>
      </c>
      <c r="B6" s="14" t="n">
        <v>1</v>
      </c>
      <c r="C6" s="14" t="inlineStr">
        <is>
          <t>AOZ1284PI</t>
        </is>
      </c>
      <c r="D6" s="14" t="inlineStr">
        <is>
          <t>Package_SO:SOIC-8-1EP_3.9x4.9mm_P1.27mm_EP2.71x3.7mm</t>
        </is>
      </c>
      <c r="E6" s="14" t="inlineStr">
        <is>
          <t>Alpha &amp; Omega Semiconductor</t>
        </is>
      </c>
      <c r="F6" s="14" t="inlineStr">
        <is>
          <t>AOZ1284PI</t>
        </is>
      </c>
      <c r="G6" s="14" t="inlineStr">
        <is>
          <t>USB_PD_CONTROLLER</t>
        </is>
      </c>
      <c r="H6" s="14" t="inlineStr"/>
      <c r="I6" s="14" t="inlineStr">
        <is>
          <t>U-SMPS</t>
        </is>
      </c>
      <c r="J6" s="14" t="inlineStr">
        <is>
          <t>Integrated Circuits</t>
        </is>
      </c>
      <c r="K6" s="14" t="inlineStr">
        <is>
          <t>PMIC - Voltage Regulators - DC DC Switching</t>
        </is>
      </c>
    </row>
    <row r="7">
      <c r="A7" s="14" t="inlineStr">
        <is>
          <t>U6</t>
        </is>
      </c>
      <c r="B7" s="14" t="n">
        <v>8</v>
      </c>
      <c r="C7" s="14" t="inlineStr">
        <is>
          <t>TL431BIDBZR</t>
        </is>
      </c>
      <c r="D7" s="14" t="inlineStr">
        <is>
          <t>Package_TO_SOT_SMD:SOT-23</t>
        </is>
      </c>
      <c r="E7" s="14" t="inlineStr">
        <is>
          <t>Texas Instruments</t>
        </is>
      </c>
      <c r="F7" s="14" t="inlineStr">
        <is>
          <t>TL431BIDBZR</t>
        </is>
      </c>
      <c r="G7" s="14" t="inlineStr">
        <is>
          <t>USB_PD_CONTROLLER</t>
        </is>
      </c>
      <c r="H7" s="14" t="inlineStr"/>
      <c r="I7" s="14" t="inlineStr">
        <is>
          <t>U-ANA</t>
        </is>
      </c>
      <c r="J7" s="14" t="inlineStr">
        <is>
          <t>Integrated Circuits</t>
        </is>
      </c>
      <c r="K7" s="14" t="inlineStr">
        <is>
          <t>Linear - Amplifiers / Data Acquisition</t>
        </is>
      </c>
    </row>
    <row r="8">
      <c r="A8" s="14" t="inlineStr">
        <is>
          <t>U7</t>
        </is>
      </c>
      <c r="B8" s="14" t="n">
        <v>11</v>
      </c>
      <c r="C8" s="14" t="inlineStr">
        <is>
          <t>TPS61023DRLR</t>
        </is>
      </c>
      <c r="D8" s="14" t="inlineStr">
        <is>
          <t>Power_Management_Custom:TPS61023_DRL0006A</t>
        </is>
      </c>
      <c r="E8" s="14" t="inlineStr">
        <is>
          <t>Texas Instruments</t>
        </is>
      </c>
      <c r="F8" s="14" t="inlineStr">
        <is>
          <t>TPS61023DRLR</t>
        </is>
      </c>
      <c r="G8" s="14" t="inlineStr">
        <is>
          <t>USER INTERFACE</t>
        </is>
      </c>
      <c r="H8" s="14" t="inlineStr"/>
      <c r="I8" s="14" t="inlineStr">
        <is>
          <t>U-SMPS</t>
        </is>
      </c>
      <c r="J8" s="14" t="inlineStr">
        <is>
          <t>Integrated Circuits</t>
        </is>
      </c>
      <c r="K8" s="14" t="inlineStr">
        <is>
          <t>PMIC - Voltage Regulators - DC DC Switching</t>
        </is>
      </c>
    </row>
    <row r="9">
      <c r="A9" s="14" t="inlineStr">
        <is>
          <t>U8</t>
        </is>
      </c>
      <c r="B9" s="14" t="n">
        <v>4</v>
      </c>
      <c r="C9" s="14" t="inlineStr">
        <is>
          <t>CAT4104V-GT3</t>
        </is>
      </c>
      <c r="D9" s="14" t="inlineStr">
        <is>
          <t>Package_SO:SOIC-8_3.9x4.9mm_P1.27mm</t>
        </is>
      </c>
      <c r="E9" s="14" t="inlineStr">
        <is>
          <t>onsemi</t>
        </is>
      </c>
      <c r="F9" s="14" t="inlineStr">
        <is>
          <t>CAT4104V-GT3</t>
        </is>
      </c>
      <c r="G9" s="14" t="inlineStr">
        <is>
          <t>USER INTERFACE</t>
        </is>
      </c>
      <c r="H9" s="14" t="inlineStr"/>
      <c r="I9" s="14" t="inlineStr"/>
      <c r="J9" s="14" t="inlineStr">
        <is>
          <t>Integrated Circuits</t>
        </is>
      </c>
      <c r="K9" s="14" t="inlineStr">
        <is>
          <t>PMIC - LED Drivers</t>
        </is>
      </c>
    </row>
    <row r="10">
      <c r="A10" s="14" t="inlineStr">
        <is>
          <t>U10</t>
        </is>
      </c>
      <c r="B10" s="14" t="n">
        <v>9</v>
      </c>
      <c r="C10" s="14" t="inlineStr">
        <is>
          <t>TPD4EUSB30</t>
        </is>
      </c>
      <c r="D10" s="14" t="inlineStr">
        <is>
          <t>Package_SON:USON-10_2.5x1.0mm_P0.5mm</t>
        </is>
      </c>
      <c r="E10" s="14" t="inlineStr">
        <is>
          <t>Texas Instruments</t>
        </is>
      </c>
      <c r="F10" s="14" t="inlineStr">
        <is>
          <t>TPD4EUSB30</t>
        </is>
      </c>
      <c r="G10" s="14" t="inlineStr">
        <is>
          <t>USB_C_INPUT</t>
        </is>
      </c>
      <c r="H10" s="14" t="inlineStr"/>
      <c r="I10" s="14" t="inlineStr">
        <is>
          <t>TVS</t>
        </is>
      </c>
      <c r="J10" s="14" t="inlineStr">
        <is>
          <t>Circuit Protection</t>
        </is>
      </c>
      <c r="K10" s="14" t="inlineStr">
        <is>
          <t>TVS Diodes</t>
        </is>
      </c>
    </row>
    <row r="11">
      <c r="A11" s="14" t="inlineStr">
        <is>
          <t>U11</t>
        </is>
      </c>
      <c r="B11" s="14" t="n">
        <v>10</v>
      </c>
      <c r="C11" s="14" t="inlineStr">
        <is>
          <t>TPS55340PWPR</t>
        </is>
      </c>
      <c r="D11" s="14" t="inlineStr">
        <is>
          <t>Package_SO:Texas_HTSSOP-14-1EP_4.4x5mm_P0.65mm_EP3.4x5mm_Mask3.155x3.255mm_ThermalVias</t>
        </is>
      </c>
      <c r="E11" s="14" t="inlineStr">
        <is>
          <t>Texas Instruments</t>
        </is>
      </c>
      <c r="F11" s="14" t="inlineStr">
        <is>
          <t>TPS55340PWPR</t>
        </is>
      </c>
      <c r="G11" s="14" t="inlineStr">
        <is>
          <t>USB_PD_CONTROLLER</t>
        </is>
      </c>
      <c r="H11" s="14" t="inlineStr"/>
      <c r="I11" s="14" t="inlineStr">
        <is>
          <t>U-SMPS</t>
        </is>
      </c>
      <c r="J11" s="14" t="inlineStr">
        <is>
          <t>Integrated Circuits</t>
        </is>
      </c>
      <c r="K11" s="14" t="inlineStr">
        <is>
          <t>PMIC - Voltage Regulators - DC DC Switching</t>
        </is>
      </c>
    </row>
    <row r="12">
      <c r="A12" s="14" t="inlineStr">
        <is>
          <t>U12</t>
        </is>
      </c>
      <c r="B12" s="14" t="n">
        <v>3</v>
      </c>
      <c r="C12" s="14" t="inlineStr">
        <is>
          <t>AP74502Q</t>
        </is>
      </c>
      <c r="D12" s="14" t="inlineStr">
        <is>
          <t>Package_TO_SOT_SMD:TSOT-23-8_HandSoldering</t>
        </is>
      </c>
      <c r="E12" s="14" t="inlineStr">
        <is>
          <t>Power_Path_Custom</t>
        </is>
      </c>
      <c r="F12" s="14" t="inlineStr">
        <is>
          <t>AP74502Q</t>
        </is>
      </c>
      <c r="G12" s="14" t="inlineStr">
        <is>
          <t>USB_PD_CONTROLLER</t>
        </is>
      </c>
      <c r="H12" s="14" t="inlineStr"/>
      <c r="I12" s="14" t="inlineStr">
        <is>
          <t>U-SW</t>
        </is>
      </c>
      <c r="J12" s="14" t="inlineStr">
        <is>
          <t>Integrated Circuits</t>
        </is>
      </c>
      <c r="K12" s="14" t="inlineStr">
        <is>
          <t>PMIC - Power Distribution Switches, Load Drivers</t>
        </is>
      </c>
    </row>
    <row r="13">
      <c r="A13" s="14" t="inlineStr">
        <is>
          <t>Q1</t>
        </is>
      </c>
      <c r="B13" s="14" t="n">
        <v>13</v>
      </c>
      <c r="C13" s="14" t="inlineStr">
        <is>
          <t>BSS138</t>
        </is>
      </c>
      <c r="D13" s="14" t="inlineStr">
        <is>
          <t>Package_TO_SOT_SMD:SOT-23</t>
        </is>
      </c>
      <c r="E13" s="14" t="inlineStr">
        <is>
          <t>onsemi</t>
        </is>
      </c>
      <c r="F13" s="14" t="inlineStr">
        <is>
          <t>BSS138</t>
        </is>
      </c>
      <c r="G13" s="14" t="inlineStr">
        <is>
          <t>USB_PD_CONTROLLER</t>
        </is>
      </c>
      <c r="H13" s="14" t="inlineStr"/>
      <c r="I13" s="14" t="inlineStr">
        <is>
          <t>Q</t>
        </is>
      </c>
      <c r="J13" s="14" t="inlineStr">
        <is>
          <t>Discrete Semiconductor Products</t>
        </is>
      </c>
      <c r="K13" s="14" t="inlineStr">
        <is>
          <t>FETs, MOSFETs - Single</t>
        </is>
      </c>
    </row>
    <row r="14">
      <c r="A14" s="14" t="inlineStr">
        <is>
          <t>Q2</t>
        </is>
      </c>
      <c r="B14" s="14" t="n">
        <v>13</v>
      </c>
      <c r="C14" s="14" t="inlineStr">
        <is>
          <t>BSS138</t>
        </is>
      </c>
      <c r="D14" s="14" t="inlineStr">
        <is>
          <t>Package_TO_SOT_SMD:SOT-23</t>
        </is>
      </c>
      <c r="E14" s="14" t="inlineStr">
        <is>
          <t>onsemi</t>
        </is>
      </c>
      <c r="F14" s="14" t="inlineStr">
        <is>
          <t>BSS138</t>
        </is>
      </c>
      <c r="G14" s="14" t="inlineStr">
        <is>
          <t>USB_PD_CONTROLLER</t>
        </is>
      </c>
      <c r="H14" s="14" t="inlineStr"/>
      <c r="I14" s="14" t="inlineStr">
        <is>
          <t>Q</t>
        </is>
      </c>
      <c r="J14" s="14" t="inlineStr">
        <is>
          <t>Discrete Semiconductor Products</t>
        </is>
      </c>
      <c r="K14" s="14" t="inlineStr">
        <is>
          <t>FETs, MOSFETs - Single</t>
        </is>
      </c>
    </row>
    <row r="15">
      <c r="A15" s="14" t="inlineStr">
        <is>
          <t>Q3</t>
        </is>
      </c>
      <c r="B15" s="14" t="n">
        <v>14</v>
      </c>
      <c r="C15" s="14" t="inlineStr">
        <is>
          <t>IRF7855TRPBF</t>
        </is>
      </c>
      <c r="D15" s="14" t="inlineStr">
        <is>
          <t>Package_SO:SOIC-8_3.9x4.9mm_P1.27mm</t>
        </is>
      </c>
      <c r="E15" s="14" t="inlineStr">
        <is>
          <t>Infineon Technologies</t>
        </is>
      </c>
      <c r="F15" s="14" t="inlineStr">
        <is>
          <t>IRF7855TRPBF</t>
        </is>
      </c>
      <c r="G15" s="14" t="inlineStr">
        <is>
          <t>USB_PD_CONTROLLER</t>
        </is>
      </c>
      <c r="H15" s="14" t="inlineStr"/>
      <c r="I15" s="14" t="inlineStr">
        <is>
          <t>Q</t>
        </is>
      </c>
      <c r="J15" s="14" t="inlineStr">
        <is>
          <t>Discrete Semiconductor Products</t>
        </is>
      </c>
      <c r="K15" s="14" t="inlineStr">
        <is>
          <t>FETs, MOSFETs - Single</t>
        </is>
      </c>
    </row>
    <row r="16">
      <c r="A16" s="14" t="inlineStr">
        <is>
          <t>Q4</t>
        </is>
      </c>
      <c r="B16" s="14" t="n">
        <v>14</v>
      </c>
      <c r="C16" s="14" t="inlineStr">
        <is>
          <t>IRF7855TRPBF</t>
        </is>
      </c>
      <c r="D16" s="14" t="inlineStr">
        <is>
          <t>Package_SO:SOIC-8_3.9x4.9mm_P1.27mm</t>
        </is>
      </c>
      <c r="E16" s="14" t="inlineStr">
        <is>
          <t>Infineon Technologies</t>
        </is>
      </c>
      <c r="F16" s="14" t="inlineStr">
        <is>
          <t>IRF7855TRPBF</t>
        </is>
      </c>
      <c r="G16" s="14" t="inlineStr">
        <is>
          <t>USB_PD_CONTROLLER</t>
        </is>
      </c>
      <c r="H16" s="14" t="inlineStr"/>
      <c r="I16" s="14" t="inlineStr">
        <is>
          <t>Q</t>
        </is>
      </c>
      <c r="J16" s="14" t="inlineStr">
        <is>
          <t>Discrete Semiconductor Products</t>
        </is>
      </c>
      <c r="K16" s="14" t="inlineStr">
        <is>
          <t>FETs, MOSFETs - Single</t>
        </is>
      </c>
    </row>
    <row r="17">
      <c r="A17" s="14" t="inlineStr">
        <is>
          <t>Q5</t>
        </is>
      </c>
      <c r="B17" s="14" t="n">
        <v>12</v>
      </c>
      <c r="C17" s="14" t="inlineStr">
        <is>
          <t>60V 4mR TBD</t>
        </is>
      </c>
      <c r="D17" s="14" t="inlineStr"/>
      <c r="E17" s="15" t="inlineStr">
        <is>
          <t>TBD</t>
        </is>
      </c>
      <c r="F17" s="15" t="inlineStr">
        <is>
          <t>TBD</t>
        </is>
      </c>
      <c r="G17" s="14" t="inlineStr">
        <is>
          <t>USB_PD_CONTROLLER</t>
        </is>
      </c>
      <c r="H17" s="14" t="inlineStr"/>
      <c r="I17" s="14" t="inlineStr">
        <is>
          <t>Q</t>
        </is>
      </c>
      <c r="J17" s="14" t="inlineStr">
        <is>
          <t>Discrete Semiconductor Products</t>
        </is>
      </c>
      <c r="K17" s="14" t="inlineStr">
        <is>
          <t>FETs, MOSFETs - Single</t>
        </is>
      </c>
    </row>
    <row r="18">
      <c r="A18" s="14" t="inlineStr">
        <is>
          <t>Q6</t>
        </is>
      </c>
      <c r="B18" s="14" t="n">
        <v>12</v>
      </c>
      <c r="C18" s="14" t="inlineStr">
        <is>
          <t>60V 4mR TBD</t>
        </is>
      </c>
      <c r="D18" s="14" t="inlineStr"/>
      <c r="E18" s="15" t="inlineStr">
        <is>
          <t>TBD</t>
        </is>
      </c>
      <c r="F18" s="15" t="inlineStr">
        <is>
          <t>TBD</t>
        </is>
      </c>
      <c r="G18" s="14" t="inlineStr">
        <is>
          <t>USB_PD_CONTROLLER</t>
        </is>
      </c>
      <c r="H18" s="14" t="inlineStr"/>
      <c r="I18" s="14" t="inlineStr">
        <is>
          <t>Q</t>
        </is>
      </c>
      <c r="J18" s="14" t="inlineStr">
        <is>
          <t>Discrete Semiconductor Products</t>
        </is>
      </c>
      <c r="K18" s="14" t="inlineStr">
        <is>
          <t>FETs, MOSFETs - Single</t>
        </is>
      </c>
    </row>
    <row r="19">
      <c r="A19" s="14" t="inlineStr">
        <is>
          <t>D1</t>
        </is>
      </c>
      <c r="B19" s="14" t="n">
        <v>17</v>
      </c>
      <c r="C19" s="14" t="inlineStr">
        <is>
          <t>LED</t>
        </is>
      </c>
      <c r="D19" s="14" t="inlineStr">
        <is>
          <t>LED_SMD:LED_0402_1005Metric</t>
        </is>
      </c>
      <c r="E19" s="15" t="inlineStr">
        <is>
          <t>TBD</t>
        </is>
      </c>
      <c r="F19" s="15" t="inlineStr">
        <is>
          <t>TBD</t>
        </is>
      </c>
      <c r="G19" s="14" t="inlineStr">
        <is>
          <t>USB_PD_CONTROLLER</t>
        </is>
      </c>
      <c r="H19" s="14" t="inlineStr"/>
      <c r="I19" s="14" t="inlineStr">
        <is>
          <t>LED</t>
        </is>
      </c>
      <c r="J19" s="14" t="inlineStr">
        <is>
          <t>Optoelectronics</t>
        </is>
      </c>
      <c r="K19" s="14" t="inlineStr">
        <is>
          <t>LED Indication - Discrete</t>
        </is>
      </c>
    </row>
    <row r="20">
      <c r="A20" s="14" t="inlineStr">
        <is>
          <t>D2</t>
        </is>
      </c>
      <c r="B20" s="14" t="n">
        <v>19</v>
      </c>
      <c r="C20" s="14" t="inlineStr">
        <is>
          <t>SS2060FL</t>
        </is>
      </c>
      <c r="D20" s="14" t="inlineStr">
        <is>
          <t>Diode_SMD:D_SOD-123F</t>
        </is>
      </c>
      <c r="E20" s="14" t="inlineStr">
        <is>
          <t>PANJIT</t>
        </is>
      </c>
      <c r="F20" s="14" t="inlineStr">
        <is>
          <t>SS2060FL_R1_00001</t>
        </is>
      </c>
      <c r="G20" s="14" t="inlineStr">
        <is>
          <t>USB_PD_CONTROLLER</t>
        </is>
      </c>
      <c r="H20" s="14" t="inlineStr"/>
      <c r="I20" s="14" t="inlineStr">
        <is>
          <t>D</t>
        </is>
      </c>
      <c r="J20" s="14" t="inlineStr">
        <is>
          <t>Discrete Semiconductor Products</t>
        </is>
      </c>
      <c r="K20" s="14" t="inlineStr">
        <is>
          <t>Diodes</t>
        </is>
      </c>
    </row>
    <row r="21">
      <c r="A21" s="14" t="inlineStr">
        <is>
          <t>D3</t>
        </is>
      </c>
      <c r="B21" s="14" t="n">
        <v>18</v>
      </c>
      <c r="C21" s="14" t="inlineStr">
        <is>
          <t>SMBJ30A</t>
        </is>
      </c>
      <c r="D21" s="14" t="inlineStr">
        <is>
          <t>Diode_SMD:D_SMB</t>
        </is>
      </c>
      <c r="E21" s="15" t="inlineStr">
        <is>
          <t>TBD</t>
        </is>
      </c>
      <c r="F21" s="14" t="inlineStr">
        <is>
          <t>SMBJ30A</t>
        </is>
      </c>
      <c r="G21" s="14" t="inlineStr">
        <is>
          <t>USB_C_INPUT</t>
        </is>
      </c>
      <c r="H21" s="14" t="inlineStr"/>
      <c r="I21" s="14" t="inlineStr">
        <is>
          <t>TVS</t>
        </is>
      </c>
      <c r="J21" s="14" t="inlineStr">
        <is>
          <t>Circuit Protection</t>
        </is>
      </c>
      <c r="K21" s="14" t="inlineStr">
        <is>
          <t>TVS Diodes</t>
        </is>
      </c>
    </row>
    <row r="22">
      <c r="A22" s="14" t="inlineStr">
        <is>
          <t>D4</t>
        </is>
      </c>
      <c r="B22" s="14" t="n">
        <v>20</v>
      </c>
      <c r="C22" s="14" t="inlineStr">
        <is>
          <t>SS34 TBD</t>
        </is>
      </c>
      <c r="D22" s="14" t="inlineStr">
        <is>
          <t>Diode_SMD:D_SMA</t>
        </is>
      </c>
      <c r="E22" s="15" t="inlineStr">
        <is>
          <t>TBD</t>
        </is>
      </c>
      <c r="F22" s="15" t="inlineStr">
        <is>
          <t>TBD</t>
        </is>
      </c>
      <c r="G22" s="14" t="inlineStr">
        <is>
          <t>USB_PD_CONTROLLER</t>
        </is>
      </c>
      <c r="H22" s="14" t="inlineStr"/>
      <c r="I22" s="14" t="inlineStr">
        <is>
          <t>D</t>
        </is>
      </c>
      <c r="J22" s="14" t="inlineStr">
        <is>
          <t>Discrete Semiconductor Products</t>
        </is>
      </c>
      <c r="K22" s="14" t="inlineStr">
        <is>
          <t>Diodes</t>
        </is>
      </c>
    </row>
    <row r="23">
      <c r="A23" s="14" t="inlineStr">
        <is>
          <t>D5</t>
        </is>
      </c>
      <c r="B23" s="14" t="n">
        <v>15</v>
      </c>
      <c r="C23" s="14" t="inlineStr">
        <is>
          <t>BAT54</t>
        </is>
      </c>
      <c r="D23" s="14" t="inlineStr">
        <is>
          <t>Diode_SMD:D_SOD-123</t>
        </is>
      </c>
      <c r="E23" s="15" t="inlineStr">
        <is>
          <t>TBD</t>
        </is>
      </c>
      <c r="F23" s="14" t="inlineStr">
        <is>
          <t>BAT54</t>
        </is>
      </c>
      <c r="G23" s="14" t="inlineStr">
        <is>
          <t>USB_PD_CONTROLLER</t>
        </is>
      </c>
      <c r="H23" s="14" t="inlineStr"/>
      <c r="I23" s="14" t="inlineStr">
        <is>
          <t>D</t>
        </is>
      </c>
      <c r="J23" s="14" t="inlineStr">
        <is>
          <t>Discrete Semiconductor Products</t>
        </is>
      </c>
      <c r="K23" s="14" t="inlineStr">
        <is>
          <t>Diodes</t>
        </is>
      </c>
    </row>
    <row r="24">
      <c r="A24" s="14" t="inlineStr">
        <is>
          <t>D6</t>
        </is>
      </c>
      <c r="B24" s="14" t="n">
        <v>16</v>
      </c>
      <c r="C24" s="14" t="inlineStr">
        <is>
          <t>BZT52C12</t>
        </is>
      </c>
      <c r="D24" s="14" t="inlineStr">
        <is>
          <t>Diode_SMD:D_SOD-123</t>
        </is>
      </c>
      <c r="E24" s="15" t="inlineStr">
        <is>
          <t>TBD</t>
        </is>
      </c>
      <c r="F24" s="14" t="inlineStr">
        <is>
          <t>BZT52C12</t>
        </is>
      </c>
      <c r="G24" s="14" t="inlineStr">
        <is>
          <t>USB_PD_CONTROLLER</t>
        </is>
      </c>
      <c r="H24" s="14" t="inlineStr"/>
      <c r="I24" s="14" t="inlineStr">
        <is>
          <t>D</t>
        </is>
      </c>
      <c r="J24" s="14" t="inlineStr">
        <is>
          <t>Discrete Semiconductor Products</t>
        </is>
      </c>
      <c r="K24" s="14" t="inlineStr">
        <is>
          <t>Diodes</t>
        </is>
      </c>
    </row>
    <row r="25">
      <c r="A25" s="14" t="inlineStr">
        <is>
          <t>D7</t>
        </is>
      </c>
      <c r="B25" s="14" t="n">
        <v>18</v>
      </c>
      <c r="C25" s="14" t="inlineStr">
        <is>
          <t>SMBJ30A</t>
        </is>
      </c>
      <c r="D25" s="14" t="inlineStr">
        <is>
          <t>Diode_SMD:D_SMB</t>
        </is>
      </c>
      <c r="E25" s="15" t="inlineStr">
        <is>
          <t>TBD</t>
        </is>
      </c>
      <c r="F25" s="14" t="inlineStr">
        <is>
          <t>SMBJ30A</t>
        </is>
      </c>
      <c r="G25" s="14" t="inlineStr">
        <is>
          <t>USB_PD_CONTROLLER</t>
        </is>
      </c>
      <c r="H25" s="14" t="inlineStr"/>
      <c r="I25" s="14" t="inlineStr">
        <is>
          <t>TVS</t>
        </is>
      </c>
      <c r="J25" s="14" t="inlineStr">
        <is>
          <t>Circuit Protection</t>
        </is>
      </c>
      <c r="K25" s="14" t="inlineStr">
        <is>
          <t>TVS Diodes</t>
        </is>
      </c>
    </row>
    <row r="26">
      <c r="A26" s="14" t="inlineStr">
        <is>
          <t>L1</t>
        </is>
      </c>
      <c r="B26" s="14" t="n">
        <v>21</v>
      </c>
      <c r="C26" s="14" t="inlineStr">
        <is>
          <t>22u</t>
        </is>
      </c>
      <c r="D26" s="14" t="inlineStr">
        <is>
          <t>Inductor_SMD:L_7.3x7.3_H4.5</t>
        </is>
      </c>
      <c r="E26" s="14" t="inlineStr">
        <is>
          <t>CORE MASTER</t>
        </is>
      </c>
      <c r="F26" s="14" t="inlineStr">
        <is>
          <t>SRI0704-220M</t>
        </is>
      </c>
      <c r="G26" s="14" t="inlineStr">
        <is>
          <t>USB_PD_CONTROLLER</t>
        </is>
      </c>
      <c r="H26" s="14" t="inlineStr"/>
      <c r="I26" s="14" t="inlineStr">
        <is>
          <t>L</t>
        </is>
      </c>
      <c r="J26" s="14" t="inlineStr">
        <is>
          <t>Inductors, Coils, Chokes</t>
        </is>
      </c>
      <c r="K26" s="14" t="inlineStr">
        <is>
          <t>Fixed Inductors</t>
        </is>
      </c>
    </row>
    <row r="27">
      <c r="A27" s="14" t="inlineStr">
        <is>
          <t>L2</t>
        </is>
      </c>
      <c r="B27" s="14" t="n">
        <v>22</v>
      </c>
      <c r="C27" s="14" t="inlineStr">
        <is>
          <t>2u2</t>
        </is>
      </c>
      <c r="D27" s="14" t="inlineStr">
        <is>
          <t>Inductor_SMD:L_Wuerth_MAPI-4030</t>
        </is>
      </c>
      <c r="E27" s="14" t="inlineStr">
        <is>
          <t>Wurth Elektronik</t>
        </is>
      </c>
      <c r="F27" s="14" t="inlineStr">
        <is>
          <t>74438357022</t>
        </is>
      </c>
      <c r="G27" s="14" t="inlineStr">
        <is>
          <t>USER INTERFACE</t>
        </is>
      </c>
      <c r="H27" s="14" t="inlineStr"/>
      <c r="I27" s="14" t="inlineStr">
        <is>
          <t>L</t>
        </is>
      </c>
      <c r="J27" s="14" t="inlineStr">
        <is>
          <t>Inductors, Coils, Chokes</t>
        </is>
      </c>
      <c r="K27" s="14" t="inlineStr">
        <is>
          <t>Fixed Inductors</t>
        </is>
      </c>
    </row>
    <row r="28">
      <c r="A28" s="14" t="inlineStr">
        <is>
          <t>L3</t>
        </is>
      </c>
      <c r="B28" s="14" t="n">
        <v>23</v>
      </c>
      <c r="C28" s="14" t="inlineStr">
        <is>
          <t>6u8</t>
        </is>
      </c>
      <c r="D28" s="14" t="inlineStr">
        <is>
          <t>Inductor_SMD:L_1210_3225Metric</t>
        </is>
      </c>
      <c r="E28" s="15" t="inlineStr">
        <is>
          <t>TBD</t>
        </is>
      </c>
      <c r="F28" s="15" t="inlineStr">
        <is>
          <t>TBD</t>
        </is>
      </c>
      <c r="G28" s="14" t="inlineStr">
        <is>
          <t>USB_PD_CONTROLLER</t>
        </is>
      </c>
      <c r="H28" s="14" t="inlineStr"/>
      <c r="I28" s="14" t="inlineStr">
        <is>
          <t>L</t>
        </is>
      </c>
      <c r="J28" s="14" t="inlineStr">
        <is>
          <t>Inductors, Coils, Chokes</t>
        </is>
      </c>
      <c r="K28" s="14" t="inlineStr">
        <is>
          <t>Fixed Inductors</t>
        </is>
      </c>
    </row>
    <row r="29">
      <c r="A29" s="14" t="inlineStr">
        <is>
          <t>C1</t>
        </is>
      </c>
      <c r="B29" s="14" t="n">
        <v>25</v>
      </c>
      <c r="C29" s="14" t="inlineStr">
        <is>
          <t>100n</t>
        </is>
      </c>
      <c r="D29" s="14" t="inlineStr">
        <is>
          <t>Capacitor_SMD:C_0402_1005Metric</t>
        </is>
      </c>
      <c r="E29" s="15" t="inlineStr">
        <is>
          <t>TBD</t>
        </is>
      </c>
      <c r="F29" s="15" t="inlineStr">
        <is>
          <t>TBD</t>
        </is>
      </c>
      <c r="G29" s="14" t="inlineStr">
        <is>
          <t>USB_PD_CONTROLLER</t>
        </is>
      </c>
      <c r="H29" s="14" t="inlineStr"/>
      <c r="I29" s="14" t="inlineStr">
        <is>
          <t>C</t>
        </is>
      </c>
      <c r="J29" s="14" t="inlineStr">
        <is>
          <t>Capacitors</t>
        </is>
      </c>
      <c r="K29" s="14" t="inlineStr">
        <is>
          <t>Ceramic Capacitors</t>
        </is>
      </c>
    </row>
    <row r="30">
      <c r="A30" s="14" t="inlineStr">
        <is>
          <t>C2</t>
        </is>
      </c>
      <c r="B30" s="14" t="n">
        <v>25</v>
      </c>
      <c r="C30" s="14" t="inlineStr">
        <is>
          <t>100n</t>
        </is>
      </c>
      <c r="D30" s="14" t="inlineStr">
        <is>
          <t>Capacitor_SMD:C_0402_1005Metric</t>
        </is>
      </c>
      <c r="E30" s="15" t="inlineStr">
        <is>
          <t>TBD</t>
        </is>
      </c>
      <c r="F30" s="15" t="inlineStr">
        <is>
          <t>TBD</t>
        </is>
      </c>
      <c r="G30" s="14" t="inlineStr">
        <is>
          <t>USB_PD_CONTROLLER</t>
        </is>
      </c>
      <c r="H30" s="14" t="inlineStr"/>
      <c r="I30" s="14" t="inlineStr">
        <is>
          <t>C</t>
        </is>
      </c>
      <c r="J30" s="14" t="inlineStr">
        <is>
          <t>Capacitors</t>
        </is>
      </c>
      <c r="K30" s="14" t="inlineStr">
        <is>
          <t>Ceramic Capacitors</t>
        </is>
      </c>
    </row>
    <row r="31">
      <c r="A31" s="14" t="inlineStr">
        <is>
          <t>C3</t>
        </is>
      </c>
      <c r="B31" s="14" t="n">
        <v>40</v>
      </c>
      <c r="C31" s="14" t="inlineStr">
        <is>
          <t>2u2</t>
        </is>
      </c>
      <c r="D31" s="14" t="inlineStr">
        <is>
          <t>Capacitor_SMD:C_0805_2012Metric</t>
        </is>
      </c>
      <c r="E31" s="15" t="inlineStr">
        <is>
          <t>TBD</t>
        </is>
      </c>
      <c r="F31" s="15" t="inlineStr">
        <is>
          <t>TBD</t>
        </is>
      </c>
      <c r="G31" s="14" t="inlineStr">
        <is>
          <t>USB_PD_CONTROLLER</t>
        </is>
      </c>
      <c r="H31" s="14" t="inlineStr"/>
      <c r="I31" s="14" t="inlineStr">
        <is>
          <t>C</t>
        </is>
      </c>
      <c r="J31" s="14" t="inlineStr">
        <is>
          <t>Capacitors</t>
        </is>
      </c>
      <c r="K31" s="14" t="inlineStr">
        <is>
          <t>Ceramic Capacitors</t>
        </is>
      </c>
    </row>
    <row r="32">
      <c r="A32" s="14" t="inlineStr">
        <is>
          <t>C4</t>
        </is>
      </c>
      <c r="B32" s="14" t="n">
        <v>34</v>
      </c>
      <c r="C32" s="14" t="inlineStr">
        <is>
          <t>1u0</t>
        </is>
      </c>
      <c r="D32" s="14" t="inlineStr">
        <is>
          <t>Capacitor_SMD:C_0402_1005Metric</t>
        </is>
      </c>
      <c r="E32" s="15" t="inlineStr">
        <is>
          <t>TBD</t>
        </is>
      </c>
      <c r="F32" s="15" t="inlineStr">
        <is>
          <t>TBD</t>
        </is>
      </c>
      <c r="G32" s="14" t="inlineStr">
        <is>
          <t>USB_PD_CONTROLLER</t>
        </is>
      </c>
      <c r="H32" s="14" t="inlineStr"/>
      <c r="I32" s="14" t="inlineStr">
        <is>
          <t>C</t>
        </is>
      </c>
      <c r="J32" s="14" t="inlineStr">
        <is>
          <t>Capacitors</t>
        </is>
      </c>
      <c r="K32" s="14" t="inlineStr">
        <is>
          <t>Ceramic Capacitors</t>
        </is>
      </c>
    </row>
    <row r="33">
      <c r="A33" s="14" t="inlineStr">
        <is>
          <t>C5</t>
        </is>
      </c>
      <c r="B33" s="14" t="n">
        <v>38</v>
      </c>
      <c r="C33" s="14" t="inlineStr">
        <is>
          <t>22u</t>
        </is>
      </c>
      <c r="D33" s="14" t="inlineStr">
        <is>
          <t>Capacitor_SMD:C_0402_1005Metric</t>
        </is>
      </c>
      <c r="E33" s="15" t="inlineStr">
        <is>
          <t>TBD</t>
        </is>
      </c>
      <c r="F33" s="15" t="inlineStr">
        <is>
          <t>TBD</t>
        </is>
      </c>
      <c r="G33" s="14" t="inlineStr">
        <is>
          <t>MCU</t>
        </is>
      </c>
      <c r="H33" s="14" t="inlineStr"/>
      <c r="I33" s="14" t="inlineStr">
        <is>
          <t>C</t>
        </is>
      </c>
      <c r="J33" s="14" t="inlineStr">
        <is>
          <t>Capacitors</t>
        </is>
      </c>
      <c r="K33" s="14" t="inlineStr">
        <is>
          <t>Ceramic Capacitors</t>
        </is>
      </c>
    </row>
    <row r="34">
      <c r="A34" s="14" t="inlineStr">
        <is>
          <t>C6</t>
        </is>
      </c>
      <c r="B34" s="14" t="n">
        <v>25</v>
      </c>
      <c r="C34" s="14" t="inlineStr">
        <is>
          <t>100n</t>
        </is>
      </c>
      <c r="D34" s="14" t="inlineStr">
        <is>
          <t>Capacitor_SMD:C_0402_1005Metric</t>
        </is>
      </c>
      <c r="E34" s="15" t="inlineStr">
        <is>
          <t>TBD</t>
        </is>
      </c>
      <c r="F34" s="15" t="inlineStr">
        <is>
          <t>TBD</t>
        </is>
      </c>
      <c r="G34" s="14" t="inlineStr">
        <is>
          <t>MCU</t>
        </is>
      </c>
      <c r="H34" s="14" t="inlineStr"/>
      <c r="I34" s="14" t="inlineStr">
        <is>
          <t>C</t>
        </is>
      </c>
      <c r="J34" s="14" t="inlineStr">
        <is>
          <t>Capacitors</t>
        </is>
      </c>
      <c r="K34" s="14" t="inlineStr">
        <is>
          <t>Ceramic Capacitors</t>
        </is>
      </c>
    </row>
    <row r="35">
      <c r="A35" s="14" t="inlineStr">
        <is>
          <t>C7</t>
        </is>
      </c>
      <c r="B35" s="14" t="n">
        <v>35</v>
      </c>
      <c r="C35" s="14" t="inlineStr">
        <is>
          <t>1u0</t>
        </is>
      </c>
      <c r="D35" s="14" t="inlineStr">
        <is>
          <t>Capacitor_SMD:C_0402_1005Metric</t>
        </is>
      </c>
      <c r="E35" s="15" t="inlineStr">
        <is>
          <t>TBD</t>
        </is>
      </c>
      <c r="F35" s="15" t="inlineStr">
        <is>
          <t>TBD</t>
        </is>
      </c>
      <c r="G35" s="14" t="inlineStr">
        <is>
          <t>MCU</t>
        </is>
      </c>
      <c r="H35" s="14" t="inlineStr"/>
      <c r="I35" s="14" t="inlineStr">
        <is>
          <t>C</t>
        </is>
      </c>
      <c r="J35" s="14" t="inlineStr">
        <is>
          <t>Capacitors</t>
        </is>
      </c>
      <c r="K35" s="14" t="inlineStr">
        <is>
          <t>Ceramic Capacitors</t>
        </is>
      </c>
    </row>
    <row r="36">
      <c r="A36" s="14" t="inlineStr">
        <is>
          <t>C8</t>
        </is>
      </c>
      <c r="B36" s="14" t="n">
        <v>30</v>
      </c>
      <c r="C36" s="14" t="inlineStr">
        <is>
          <t>10u</t>
        </is>
      </c>
      <c r="D36" s="14" t="inlineStr">
        <is>
          <t>Capacitor_SMD:C_0402_1005Metric</t>
        </is>
      </c>
      <c r="E36" s="15" t="inlineStr">
        <is>
          <t>TBD</t>
        </is>
      </c>
      <c r="F36" s="15" t="inlineStr">
        <is>
          <t>TBD</t>
        </is>
      </c>
      <c r="G36" s="14" t="inlineStr">
        <is>
          <t>USB_PD_CONTROLLER</t>
        </is>
      </c>
      <c r="H36" s="14" t="inlineStr"/>
      <c r="I36" s="14" t="inlineStr">
        <is>
          <t>C</t>
        </is>
      </c>
      <c r="J36" s="14" t="inlineStr">
        <is>
          <t>Capacitors</t>
        </is>
      </c>
      <c r="K36" s="14" t="inlineStr">
        <is>
          <t>Ceramic Capacitors</t>
        </is>
      </c>
    </row>
    <row r="37">
      <c r="A37" s="14" t="inlineStr">
        <is>
          <t>C9</t>
        </is>
      </c>
      <c r="B37" s="14" t="n">
        <v>25</v>
      </c>
      <c r="C37" s="14" t="inlineStr">
        <is>
          <t>100n</t>
        </is>
      </c>
      <c r="D37" s="14" t="inlineStr">
        <is>
          <t>Capacitor_SMD:C_0402_1005Metric</t>
        </is>
      </c>
      <c r="E37" s="15" t="inlineStr">
        <is>
          <t>TBD</t>
        </is>
      </c>
      <c r="F37" s="15" t="inlineStr">
        <is>
          <t>TBD</t>
        </is>
      </c>
      <c r="G37" s="14" t="inlineStr">
        <is>
          <t>MCU</t>
        </is>
      </c>
      <c r="H37" s="14" t="inlineStr"/>
      <c r="I37" s="14" t="inlineStr">
        <is>
          <t>C</t>
        </is>
      </c>
      <c r="J37" s="14" t="inlineStr">
        <is>
          <t>Capacitors</t>
        </is>
      </c>
      <c r="K37" s="14" t="inlineStr">
        <is>
          <t>Ceramic Capacitors</t>
        </is>
      </c>
    </row>
    <row r="38">
      <c r="A38" s="14" t="inlineStr">
        <is>
          <t>C10</t>
        </is>
      </c>
      <c r="B38" s="14" t="n">
        <v>25</v>
      </c>
      <c r="C38" s="14" t="inlineStr">
        <is>
          <t>100n</t>
        </is>
      </c>
      <c r="D38" s="14" t="inlineStr">
        <is>
          <t>Capacitor_SMD:C_0402_1005Metric</t>
        </is>
      </c>
      <c r="E38" s="15" t="inlineStr">
        <is>
          <t>TBD</t>
        </is>
      </c>
      <c r="F38" s="15" t="inlineStr">
        <is>
          <t>TBD</t>
        </is>
      </c>
      <c r="G38" s="14" t="inlineStr">
        <is>
          <t>MCU</t>
        </is>
      </c>
      <c r="H38" s="14" t="inlineStr"/>
      <c r="I38" s="14" t="inlineStr">
        <is>
          <t>C</t>
        </is>
      </c>
      <c r="J38" s="14" t="inlineStr">
        <is>
          <t>Capacitors</t>
        </is>
      </c>
      <c r="K38" s="14" t="inlineStr">
        <is>
          <t>Ceramic Capacitors</t>
        </is>
      </c>
    </row>
    <row r="39">
      <c r="A39" s="14" t="inlineStr">
        <is>
          <t>C11</t>
        </is>
      </c>
      <c r="B39" s="14" t="n">
        <v>25</v>
      </c>
      <c r="C39" s="14" t="inlineStr">
        <is>
          <t>100n</t>
        </is>
      </c>
      <c r="D39" s="14" t="inlineStr">
        <is>
          <t>Capacitor_SMD:C_0402_1005Metric</t>
        </is>
      </c>
      <c r="E39" s="15" t="inlineStr">
        <is>
          <t>TBD</t>
        </is>
      </c>
      <c r="F39" s="15" t="inlineStr">
        <is>
          <t>TBD</t>
        </is>
      </c>
      <c r="G39" s="14" t="inlineStr">
        <is>
          <t>USB_PD_CONTROLLER</t>
        </is>
      </c>
      <c r="H39" s="14" t="inlineStr"/>
      <c r="I39" s="14" t="inlineStr">
        <is>
          <t>C</t>
        </is>
      </c>
      <c r="J39" s="14" t="inlineStr">
        <is>
          <t>Capacitors</t>
        </is>
      </c>
      <c r="K39" s="14" t="inlineStr">
        <is>
          <t>Ceramic Capacitors</t>
        </is>
      </c>
    </row>
    <row r="40">
      <c r="A40" s="14" t="inlineStr">
        <is>
          <t>C12</t>
        </is>
      </c>
      <c r="B40" s="14" t="n">
        <v>31</v>
      </c>
      <c r="C40" s="14" t="inlineStr">
        <is>
          <t>10u</t>
        </is>
      </c>
      <c r="D40" s="14" t="inlineStr">
        <is>
          <t>Capacitor_SMD:C_1210_3225Metric</t>
        </is>
      </c>
      <c r="E40" s="15" t="inlineStr">
        <is>
          <t>TBD</t>
        </is>
      </c>
      <c r="F40" s="15" t="inlineStr">
        <is>
          <t>TBD</t>
        </is>
      </c>
      <c r="G40" s="14" t="inlineStr">
        <is>
          <t>USB_PD_CONTROLLER</t>
        </is>
      </c>
      <c r="H40" s="14" t="inlineStr"/>
      <c r="I40" s="14" t="inlineStr">
        <is>
          <t>C</t>
        </is>
      </c>
      <c r="J40" s="14" t="inlineStr">
        <is>
          <t>Capacitors</t>
        </is>
      </c>
      <c r="K40" s="14" t="inlineStr">
        <is>
          <t>Ceramic Capacitors</t>
        </is>
      </c>
    </row>
    <row r="41">
      <c r="A41" s="14" t="inlineStr">
        <is>
          <t>C13</t>
        </is>
      </c>
      <c r="B41" s="14" t="n">
        <v>31</v>
      </c>
      <c r="C41" s="14" t="inlineStr">
        <is>
          <t>10u</t>
        </is>
      </c>
      <c r="D41" s="14" t="inlineStr">
        <is>
          <t>Capacitor_SMD:C_1210_3225Metric</t>
        </is>
      </c>
      <c r="E41" s="15" t="inlineStr">
        <is>
          <t>TBD</t>
        </is>
      </c>
      <c r="F41" s="15" t="inlineStr">
        <is>
          <t>TBD</t>
        </is>
      </c>
      <c r="G41" s="14" t="inlineStr">
        <is>
          <t>USB_PD_CONTROLLER</t>
        </is>
      </c>
      <c r="H41" s="14" t="inlineStr"/>
      <c r="I41" s="14" t="inlineStr">
        <is>
          <t>C</t>
        </is>
      </c>
      <c r="J41" s="14" t="inlineStr">
        <is>
          <t>Capacitors</t>
        </is>
      </c>
      <c r="K41" s="14" t="inlineStr">
        <is>
          <t>Ceramic Capacitors</t>
        </is>
      </c>
    </row>
    <row r="42">
      <c r="A42" s="14" t="inlineStr">
        <is>
          <t>C14</t>
        </is>
      </c>
      <c r="B42" s="14" t="n">
        <v>24</v>
      </c>
      <c r="C42" s="14" t="inlineStr">
        <is>
          <t>100n</t>
        </is>
      </c>
      <c r="D42" s="14" t="inlineStr">
        <is>
          <t>Capacitor_SMD:C_0402_1005Metric</t>
        </is>
      </c>
      <c r="E42" s="15" t="inlineStr">
        <is>
          <t>TBD</t>
        </is>
      </c>
      <c r="F42" s="15" t="inlineStr">
        <is>
          <t>TBD</t>
        </is>
      </c>
      <c r="G42" s="14" t="inlineStr">
        <is>
          <t>USB_PD_CONTROLLER</t>
        </is>
      </c>
      <c r="H42" s="14" t="inlineStr"/>
      <c r="I42" s="14" t="inlineStr">
        <is>
          <t>C</t>
        </is>
      </c>
      <c r="J42" s="14" t="inlineStr">
        <is>
          <t>Capacitors</t>
        </is>
      </c>
      <c r="K42" s="14" t="inlineStr">
        <is>
          <t>Ceramic Capacitors</t>
        </is>
      </c>
    </row>
    <row r="43">
      <c r="A43" s="14" t="inlineStr">
        <is>
          <t>C15</t>
        </is>
      </c>
      <c r="B43" s="14" t="n">
        <v>42</v>
      </c>
      <c r="C43" s="14" t="inlineStr">
        <is>
          <t>47u</t>
        </is>
      </c>
      <c r="D43" s="14" t="inlineStr">
        <is>
          <t>Capacitor_SMD:C_0402_1005Metric</t>
        </is>
      </c>
      <c r="E43" s="15" t="inlineStr">
        <is>
          <t>TBD</t>
        </is>
      </c>
      <c r="F43" s="15" t="inlineStr">
        <is>
          <t>TBD</t>
        </is>
      </c>
      <c r="G43" s="14" t="inlineStr">
        <is>
          <t>USB_PD_CONTROLLER</t>
        </is>
      </c>
      <c r="H43" s="14" t="inlineStr"/>
      <c r="I43" s="14" t="inlineStr">
        <is>
          <t>C</t>
        </is>
      </c>
      <c r="J43" s="14" t="inlineStr">
        <is>
          <t>Capacitors</t>
        </is>
      </c>
      <c r="K43" s="14" t="inlineStr">
        <is>
          <t>Ceramic Capacitors</t>
        </is>
      </c>
    </row>
    <row r="44">
      <c r="A44" s="14" t="inlineStr">
        <is>
          <t>C16</t>
        </is>
      </c>
      <c r="B44" s="14" t="n">
        <v>43</v>
      </c>
      <c r="C44" s="14" t="inlineStr">
        <is>
          <t>47u</t>
        </is>
      </c>
      <c r="D44" s="14" t="inlineStr">
        <is>
          <t>Capacitor_SMD:C_1210_3225Metric</t>
        </is>
      </c>
      <c r="E44" s="15" t="inlineStr">
        <is>
          <t>TBD</t>
        </is>
      </c>
      <c r="F44" s="15" t="inlineStr">
        <is>
          <t>TBD</t>
        </is>
      </c>
      <c r="G44" s="14" t="inlineStr">
        <is>
          <t>USB_PD_CONTROLLER</t>
        </is>
      </c>
      <c r="H44" s="14" t="inlineStr"/>
      <c r="I44" s="14" t="inlineStr">
        <is>
          <t>C</t>
        </is>
      </c>
      <c r="J44" s="14" t="inlineStr">
        <is>
          <t>Capacitors</t>
        </is>
      </c>
      <c r="K44" s="14" t="inlineStr">
        <is>
          <t>Ceramic Capacitors</t>
        </is>
      </c>
    </row>
    <row r="45">
      <c r="A45" s="14" t="inlineStr">
        <is>
          <t>C17</t>
        </is>
      </c>
      <c r="B45" s="14" t="n">
        <v>26</v>
      </c>
      <c r="C45" s="14" t="inlineStr">
        <is>
          <t>100n</t>
        </is>
      </c>
      <c r="D45" s="14" t="inlineStr">
        <is>
          <t>Capacitor_SMD:C_0402_1005Metric</t>
        </is>
      </c>
      <c r="E45" s="15" t="inlineStr">
        <is>
          <t>TBD</t>
        </is>
      </c>
      <c r="F45" s="15" t="inlineStr">
        <is>
          <t>TBD</t>
        </is>
      </c>
      <c r="G45" s="14" t="inlineStr">
        <is>
          <t>USB_PD_CONTROLLER</t>
        </is>
      </c>
      <c r="H45" s="14" t="inlineStr"/>
      <c r="I45" s="14" t="inlineStr">
        <is>
          <t>C</t>
        </is>
      </c>
      <c r="J45" s="14" t="inlineStr">
        <is>
          <t>Capacitors</t>
        </is>
      </c>
      <c r="K45" s="14" t="inlineStr">
        <is>
          <t>Ceramic Capacitors</t>
        </is>
      </c>
    </row>
    <row r="46">
      <c r="A46" s="14" t="inlineStr">
        <is>
          <t>C18</t>
        </is>
      </c>
      <c r="B46" s="14" t="n">
        <v>29</v>
      </c>
      <c r="C46" s="14" t="inlineStr">
        <is>
          <t>10n</t>
        </is>
      </c>
      <c r="D46" s="14" t="inlineStr">
        <is>
          <t>Capacitor_SMD:C_0402_1005Metric</t>
        </is>
      </c>
      <c r="E46" s="15" t="inlineStr">
        <is>
          <t>TBD</t>
        </is>
      </c>
      <c r="F46" s="15" t="inlineStr">
        <is>
          <t>TBD</t>
        </is>
      </c>
      <c r="G46" s="14" t="inlineStr">
        <is>
          <t>USB_PD_CONTROLLER</t>
        </is>
      </c>
      <c r="H46" s="14" t="inlineStr"/>
      <c r="I46" s="14" t="inlineStr">
        <is>
          <t>C</t>
        </is>
      </c>
      <c r="J46" s="14" t="inlineStr">
        <is>
          <t>Capacitors</t>
        </is>
      </c>
      <c r="K46" s="14" t="inlineStr">
        <is>
          <t>Ceramic Capacitors</t>
        </is>
      </c>
    </row>
    <row r="47">
      <c r="A47" s="14" t="inlineStr">
        <is>
          <t>C19</t>
        </is>
      </c>
      <c r="B47" s="14" t="n">
        <v>33</v>
      </c>
      <c r="C47" s="14" t="inlineStr">
        <is>
          <t>18n</t>
        </is>
      </c>
      <c r="D47" s="14" t="inlineStr">
        <is>
          <t>Capacitor_SMD:C_0402_1005Metric</t>
        </is>
      </c>
      <c r="E47" s="15" t="inlineStr">
        <is>
          <t>TBD</t>
        </is>
      </c>
      <c r="F47" s="15" t="inlineStr">
        <is>
          <t>TBD</t>
        </is>
      </c>
      <c r="G47" s="14" t="inlineStr">
        <is>
          <t>USB_PD_CONTROLLER</t>
        </is>
      </c>
      <c r="H47" s="14" t="inlineStr"/>
      <c r="I47" s="14" t="inlineStr">
        <is>
          <t>C</t>
        </is>
      </c>
      <c r="J47" s="14" t="inlineStr">
        <is>
          <t>Capacitors</t>
        </is>
      </c>
      <c r="K47" s="14" t="inlineStr">
        <is>
          <t>Ceramic Capacitors</t>
        </is>
      </c>
    </row>
    <row r="48">
      <c r="A48" s="14" t="inlineStr">
        <is>
          <t>C20</t>
        </is>
      </c>
      <c r="B48" s="14" t="n">
        <v>39</v>
      </c>
      <c r="C48" s="14" t="inlineStr">
        <is>
          <t>22u</t>
        </is>
      </c>
      <c r="D48" s="14" t="inlineStr">
        <is>
          <t>Capacitor_SMD:C_0402_1005Metric</t>
        </is>
      </c>
      <c r="E48" s="15" t="inlineStr">
        <is>
          <t>TBD</t>
        </is>
      </c>
      <c r="F48" s="15" t="inlineStr">
        <is>
          <t>TBD</t>
        </is>
      </c>
      <c r="G48" s="14" t="inlineStr">
        <is>
          <t>USER INTERFACE</t>
        </is>
      </c>
      <c r="H48" s="14" t="inlineStr"/>
      <c r="I48" s="14" t="inlineStr">
        <is>
          <t>C</t>
        </is>
      </c>
      <c r="J48" s="14" t="inlineStr">
        <is>
          <t>Capacitors</t>
        </is>
      </c>
      <c r="K48" s="14" t="inlineStr">
        <is>
          <t>Ceramic Capacitors</t>
        </is>
      </c>
    </row>
    <row r="49">
      <c r="A49" s="14" t="inlineStr">
        <is>
          <t>C21</t>
        </is>
      </c>
      <c r="B49" s="14" t="n">
        <v>39</v>
      </c>
      <c r="C49" s="14" t="inlineStr">
        <is>
          <t>22u</t>
        </is>
      </c>
      <c r="D49" s="14" t="inlineStr">
        <is>
          <t>Capacitor_SMD:C_0402_1005Metric</t>
        </is>
      </c>
      <c r="E49" s="15" t="inlineStr">
        <is>
          <t>TBD</t>
        </is>
      </c>
      <c r="F49" s="15" t="inlineStr">
        <is>
          <t>TBD</t>
        </is>
      </c>
      <c r="G49" s="14" t="inlineStr">
        <is>
          <t>USER INTERFACE</t>
        </is>
      </c>
      <c r="H49" s="14" t="inlineStr"/>
      <c r="I49" s="14" t="inlineStr">
        <is>
          <t>C</t>
        </is>
      </c>
      <c r="J49" s="14" t="inlineStr">
        <is>
          <t>Capacitors</t>
        </is>
      </c>
      <c r="K49" s="14" t="inlineStr">
        <is>
          <t>Ceramic Capacitors</t>
        </is>
      </c>
    </row>
    <row r="50">
      <c r="A50" s="14" t="inlineStr">
        <is>
          <t>C22</t>
        </is>
      </c>
      <c r="B50" s="14" t="n">
        <v>28</v>
      </c>
      <c r="C50" s="14" t="inlineStr">
        <is>
          <t>100n</t>
        </is>
      </c>
      <c r="D50" s="14" t="inlineStr">
        <is>
          <t>Capacitor_SMD:C_0402_1005Metric</t>
        </is>
      </c>
      <c r="E50" s="15" t="inlineStr">
        <is>
          <t>TBD</t>
        </is>
      </c>
      <c r="F50" s="15" t="inlineStr">
        <is>
          <t>TBD</t>
        </is>
      </c>
      <c r="G50" s="14" t="inlineStr">
        <is>
          <t>USER INTERFACE</t>
        </is>
      </c>
      <c r="H50" s="14" t="inlineStr"/>
      <c r="I50" s="14" t="inlineStr">
        <is>
          <t>C</t>
        </is>
      </c>
      <c r="J50" s="14" t="inlineStr">
        <is>
          <t>Capacitors</t>
        </is>
      </c>
      <c r="K50" s="14" t="inlineStr">
        <is>
          <t>Ceramic Capacitors</t>
        </is>
      </c>
    </row>
    <row r="51">
      <c r="A51" s="14" t="inlineStr">
        <is>
          <t>C23</t>
        </is>
      </c>
      <c r="B51" s="14" t="n">
        <v>41</v>
      </c>
      <c r="C51" s="14" t="inlineStr">
        <is>
          <t>47n</t>
        </is>
      </c>
      <c r="D51" s="14" t="inlineStr">
        <is>
          <t>Capacitor_SMD:C_0402_1005Metric</t>
        </is>
      </c>
      <c r="E51" s="15" t="inlineStr">
        <is>
          <t>TBD</t>
        </is>
      </c>
      <c r="F51" s="15" t="inlineStr">
        <is>
          <t>TBD</t>
        </is>
      </c>
      <c r="G51" s="14" t="inlineStr">
        <is>
          <t>USB_PD_CONTROLLER</t>
        </is>
      </c>
      <c r="H51" s="14" t="inlineStr"/>
      <c r="I51" s="14" t="inlineStr">
        <is>
          <t>C</t>
        </is>
      </c>
      <c r="J51" s="14" t="inlineStr">
        <is>
          <t>Capacitors</t>
        </is>
      </c>
      <c r="K51" s="14" t="inlineStr">
        <is>
          <t>Ceramic Capacitors</t>
        </is>
      </c>
    </row>
    <row r="52">
      <c r="A52" s="14" t="inlineStr">
        <is>
          <t>C24</t>
        </is>
      </c>
      <c r="B52" s="14" t="n">
        <v>25</v>
      </c>
      <c r="C52" s="14" t="inlineStr">
        <is>
          <t>100n</t>
        </is>
      </c>
      <c r="D52" s="14" t="inlineStr">
        <is>
          <t>Capacitor_SMD:C_0402_1005Metric</t>
        </is>
      </c>
      <c r="E52" s="15" t="inlineStr">
        <is>
          <t>TBD</t>
        </is>
      </c>
      <c r="F52" s="15" t="inlineStr">
        <is>
          <t>TBD</t>
        </is>
      </c>
      <c r="G52" s="14" t="inlineStr">
        <is>
          <t>USB_PD_CONTROLLER</t>
        </is>
      </c>
      <c r="H52" s="14" t="inlineStr"/>
      <c r="I52" s="14" t="inlineStr">
        <is>
          <t>C</t>
        </is>
      </c>
      <c r="J52" s="14" t="inlineStr">
        <is>
          <t>Capacitors</t>
        </is>
      </c>
      <c r="K52" s="14" t="inlineStr">
        <is>
          <t>Ceramic Capacitors</t>
        </is>
      </c>
    </row>
    <row r="53">
      <c r="A53" s="14" t="inlineStr">
        <is>
          <t>C25</t>
        </is>
      </c>
      <c r="B53" s="14" t="n">
        <v>32</v>
      </c>
      <c r="C53" s="14" t="inlineStr">
        <is>
          <t>10u</t>
        </is>
      </c>
      <c r="D53" s="14" t="inlineStr">
        <is>
          <t>Capacitor_SMD:C_1210_3225Metric</t>
        </is>
      </c>
      <c r="E53" s="15" t="inlineStr">
        <is>
          <t>TBD</t>
        </is>
      </c>
      <c r="F53" s="15" t="inlineStr">
        <is>
          <t>TBD</t>
        </is>
      </c>
      <c r="G53" s="14" t="inlineStr">
        <is>
          <t>USB_PD_CONTROLLER</t>
        </is>
      </c>
      <c r="H53" s="14" t="inlineStr"/>
      <c r="I53" s="14" t="inlineStr">
        <is>
          <t>C</t>
        </is>
      </c>
      <c r="J53" s="14" t="inlineStr">
        <is>
          <t>Capacitors</t>
        </is>
      </c>
      <c r="K53" s="14" t="inlineStr">
        <is>
          <t>Ceramic Capacitors</t>
        </is>
      </c>
    </row>
    <row r="54">
      <c r="A54" s="14" t="inlineStr">
        <is>
          <t>C26</t>
        </is>
      </c>
      <c r="B54" s="14" t="n">
        <v>27</v>
      </c>
      <c r="C54" s="14" t="inlineStr">
        <is>
          <t>100n</t>
        </is>
      </c>
      <c r="D54" s="14" t="inlineStr">
        <is>
          <t>Capacitor_SMD:C_0402_1005Metric</t>
        </is>
      </c>
      <c r="E54" s="15" t="inlineStr">
        <is>
          <t>TBD</t>
        </is>
      </c>
      <c r="F54" s="15" t="inlineStr">
        <is>
          <t>TBD</t>
        </is>
      </c>
      <c r="G54" s="14" t="inlineStr">
        <is>
          <t>USB_PD_CONTROLLER</t>
        </is>
      </c>
      <c r="H54" s="14" t="inlineStr"/>
      <c r="I54" s="14" t="inlineStr">
        <is>
          <t>C</t>
        </is>
      </c>
      <c r="J54" s="14" t="inlineStr">
        <is>
          <t>Capacitors</t>
        </is>
      </c>
      <c r="K54" s="14" t="inlineStr">
        <is>
          <t>Ceramic Capacitors</t>
        </is>
      </c>
    </row>
    <row r="55">
      <c r="A55" s="14" t="inlineStr">
        <is>
          <t>C27</t>
        </is>
      </c>
      <c r="B55" s="14" t="n">
        <v>32</v>
      </c>
      <c r="C55" s="14" t="inlineStr">
        <is>
          <t>10u</t>
        </is>
      </c>
      <c r="D55" s="14" t="inlineStr">
        <is>
          <t>Capacitor_SMD:C_1210_3225Metric</t>
        </is>
      </c>
      <c r="E55" s="15" t="inlineStr">
        <is>
          <t>TBD</t>
        </is>
      </c>
      <c r="F55" s="15" t="inlineStr">
        <is>
          <t>TBD</t>
        </is>
      </c>
      <c r="G55" s="14" t="inlineStr">
        <is>
          <t>USB_PD_CONTROLLER</t>
        </is>
      </c>
      <c r="H55" s="14" t="inlineStr"/>
      <c r="I55" s="14" t="inlineStr">
        <is>
          <t>C</t>
        </is>
      </c>
      <c r="J55" s="14" t="inlineStr">
        <is>
          <t>Capacitors</t>
        </is>
      </c>
      <c r="K55" s="14" t="inlineStr">
        <is>
          <t>Ceramic Capacitors</t>
        </is>
      </c>
    </row>
    <row r="56">
      <c r="A56" s="14" t="inlineStr">
        <is>
          <t>C28</t>
        </is>
      </c>
      <c r="B56" s="14" t="n">
        <v>32</v>
      </c>
      <c r="C56" s="14" t="inlineStr">
        <is>
          <t>10u</t>
        </is>
      </c>
      <c r="D56" s="14" t="inlineStr">
        <is>
          <t>Capacitor_SMD:C_1210_3225Metric</t>
        </is>
      </c>
      <c r="E56" s="15" t="inlineStr">
        <is>
          <t>TBD</t>
        </is>
      </c>
      <c r="F56" s="15" t="inlineStr">
        <is>
          <t>TBD</t>
        </is>
      </c>
      <c r="G56" s="14" t="inlineStr">
        <is>
          <t>USB_PD_CONTROLLER</t>
        </is>
      </c>
      <c r="H56" s="14" t="inlineStr"/>
      <c r="I56" s="14" t="inlineStr">
        <is>
          <t>C</t>
        </is>
      </c>
      <c r="J56" s="14" t="inlineStr">
        <is>
          <t>Capacitors</t>
        </is>
      </c>
      <c r="K56" s="14" t="inlineStr">
        <is>
          <t>Ceramic Capacitors</t>
        </is>
      </c>
    </row>
    <row r="57">
      <c r="A57" s="14" t="inlineStr">
        <is>
          <t>C29</t>
        </is>
      </c>
      <c r="B57" s="14" t="n">
        <v>44</v>
      </c>
      <c r="C57" s="14" t="inlineStr">
        <is>
          <t>47u</t>
        </is>
      </c>
      <c r="D57" s="14" t="inlineStr">
        <is>
          <t>Capacitor_SMD:C_1210_3225Metric</t>
        </is>
      </c>
      <c r="E57" s="15" t="inlineStr">
        <is>
          <t>TBD</t>
        </is>
      </c>
      <c r="F57" s="15" t="inlineStr">
        <is>
          <t>TBD</t>
        </is>
      </c>
      <c r="G57" s="14" t="inlineStr">
        <is>
          <t>USB_PD_CONTROLLER</t>
        </is>
      </c>
      <c r="H57" s="14" t="inlineStr"/>
      <c r="I57" s="14" t="inlineStr">
        <is>
          <t>C</t>
        </is>
      </c>
      <c r="J57" s="14" t="inlineStr">
        <is>
          <t>Capacitors</t>
        </is>
      </c>
      <c r="K57" s="14" t="inlineStr">
        <is>
          <t>Ceramic Capacitors</t>
        </is>
      </c>
    </row>
    <row r="58">
      <c r="A58" s="14" t="inlineStr">
        <is>
          <t>C30</t>
        </is>
      </c>
      <c r="B58" s="14" t="n">
        <v>37</v>
      </c>
      <c r="C58" s="14" t="inlineStr">
        <is>
          <t>22n</t>
        </is>
      </c>
      <c r="D58" s="14" t="inlineStr">
        <is>
          <t>Capacitor_SMD:C_0402_1005Metric</t>
        </is>
      </c>
      <c r="E58" s="15" t="inlineStr">
        <is>
          <t>TBD</t>
        </is>
      </c>
      <c r="F58" s="15" t="inlineStr">
        <is>
          <t>TBD</t>
        </is>
      </c>
      <c r="G58" s="14" t="inlineStr">
        <is>
          <t>USB_PD_CONTROLLER</t>
        </is>
      </c>
      <c r="H58" s="14" t="inlineStr"/>
      <c r="I58" s="14" t="inlineStr">
        <is>
          <t>C</t>
        </is>
      </c>
      <c r="J58" s="14" t="inlineStr">
        <is>
          <t>Capacitors</t>
        </is>
      </c>
      <c r="K58" s="14" t="inlineStr">
        <is>
          <t>Ceramic Capacitors</t>
        </is>
      </c>
    </row>
    <row r="59">
      <c r="A59" s="14" t="inlineStr">
        <is>
          <t>C31</t>
        </is>
      </c>
      <c r="B59" s="14" t="n">
        <v>36</v>
      </c>
      <c r="C59" s="14" t="inlineStr">
        <is>
          <t>220n</t>
        </is>
      </c>
      <c r="D59" s="14" t="inlineStr">
        <is>
          <t>Capacitor_SMD:C_0402_1005Metric</t>
        </is>
      </c>
      <c r="E59" s="15" t="inlineStr">
        <is>
          <t>TBD</t>
        </is>
      </c>
      <c r="F59" s="15" t="inlineStr">
        <is>
          <t>TBD</t>
        </is>
      </c>
      <c r="G59" s="14" t="inlineStr">
        <is>
          <t>USB_PD_CONTROLLER</t>
        </is>
      </c>
      <c r="H59" s="14" t="inlineStr"/>
      <c r="I59" s="14" t="inlineStr">
        <is>
          <t>C</t>
        </is>
      </c>
      <c r="J59" s="14" t="inlineStr">
        <is>
          <t>Capacitors</t>
        </is>
      </c>
      <c r="K59" s="14" t="inlineStr">
        <is>
          <t>Ceramic Capacitors</t>
        </is>
      </c>
    </row>
    <row r="60">
      <c r="A60" s="14" t="inlineStr">
        <is>
          <t>C32</t>
        </is>
      </c>
      <c r="B60" s="14" t="n">
        <v>27</v>
      </c>
      <c r="C60" s="14" t="inlineStr">
        <is>
          <t>100n</t>
        </is>
      </c>
      <c r="D60" s="14" t="inlineStr">
        <is>
          <t>Capacitor_SMD:C_0402_1005Metric</t>
        </is>
      </c>
      <c r="E60" s="15" t="inlineStr">
        <is>
          <t>TBD</t>
        </is>
      </c>
      <c r="F60" s="15" t="inlineStr">
        <is>
          <t>TBD</t>
        </is>
      </c>
      <c r="G60" s="14" t="inlineStr">
        <is>
          <t>USB_PD_CONTROLLER</t>
        </is>
      </c>
      <c r="H60" s="14" t="inlineStr"/>
      <c r="I60" s="14" t="inlineStr">
        <is>
          <t>C</t>
        </is>
      </c>
      <c r="J60" s="14" t="inlineStr">
        <is>
          <t>Capacitors</t>
        </is>
      </c>
      <c r="K60" s="14" t="inlineStr">
        <is>
          <t>Ceramic Capacitors</t>
        </is>
      </c>
    </row>
    <row r="61">
      <c r="A61" s="14" t="inlineStr">
        <is>
          <t>R1</t>
        </is>
      </c>
      <c r="B61" s="14" t="n">
        <v>51</v>
      </c>
      <c r="C61" s="14" t="inlineStr">
        <is>
          <t>10k</t>
        </is>
      </c>
      <c r="D61" s="14" t="inlineStr">
        <is>
          <t>Resistor_SMD:R_0402_1005Metric</t>
        </is>
      </c>
      <c r="E61" s="15" t="inlineStr">
        <is>
          <t>TBD</t>
        </is>
      </c>
      <c r="F61" s="15" t="inlineStr">
        <is>
          <t>TBD</t>
        </is>
      </c>
      <c r="G61" s="14" t="inlineStr">
        <is>
          <t>MCU</t>
        </is>
      </c>
      <c r="H61" s="14" t="inlineStr"/>
      <c r="I61" s="14" t="inlineStr">
        <is>
          <t>R</t>
        </is>
      </c>
      <c r="J61" s="14" t="inlineStr">
        <is>
          <t>Resistors</t>
        </is>
      </c>
      <c r="K61" s="14" t="inlineStr">
        <is>
          <t>Chip Resistor - Surface Mount</t>
        </is>
      </c>
    </row>
    <row r="62">
      <c r="A62" s="14" t="inlineStr">
        <is>
          <t>R2</t>
        </is>
      </c>
      <c r="B62" s="14" t="n">
        <v>58</v>
      </c>
      <c r="C62" s="14" t="inlineStr">
        <is>
          <t>22R</t>
        </is>
      </c>
      <c r="D62" s="14" t="inlineStr">
        <is>
          <t>Resistor_SMD:R_0402_1005Metric</t>
        </is>
      </c>
      <c r="E62" s="15" t="inlineStr">
        <is>
          <t>TBD</t>
        </is>
      </c>
      <c r="F62" s="15" t="inlineStr">
        <is>
          <t>TBD</t>
        </is>
      </c>
      <c r="G62" s="14" t="inlineStr">
        <is>
          <t>MCU</t>
        </is>
      </c>
      <c r="H62" s="14" t="inlineStr"/>
      <c r="I62" s="14" t="inlineStr">
        <is>
          <t>R</t>
        </is>
      </c>
      <c r="J62" s="14" t="inlineStr">
        <is>
          <t>Resistors</t>
        </is>
      </c>
      <c r="K62" s="14" t="inlineStr">
        <is>
          <t>Chip Resistor - Surface Mount</t>
        </is>
      </c>
    </row>
    <row r="63">
      <c r="A63" s="14" t="inlineStr">
        <is>
          <t>R3</t>
        </is>
      </c>
      <c r="B63" s="14" t="n">
        <v>58</v>
      </c>
      <c r="C63" s="14" t="inlineStr">
        <is>
          <t>22R</t>
        </is>
      </c>
      <c r="D63" s="14" t="inlineStr">
        <is>
          <t>Resistor_SMD:R_0402_1005Metric</t>
        </is>
      </c>
      <c r="E63" s="15" t="inlineStr">
        <is>
          <t>TBD</t>
        </is>
      </c>
      <c r="F63" s="15" t="inlineStr">
        <is>
          <t>TBD</t>
        </is>
      </c>
      <c r="G63" s="14" t="inlineStr">
        <is>
          <t>MCU</t>
        </is>
      </c>
      <c r="H63" s="14" t="inlineStr"/>
      <c r="I63" s="14" t="inlineStr">
        <is>
          <t>R</t>
        </is>
      </c>
      <c r="J63" s="14" t="inlineStr">
        <is>
          <t>Resistors</t>
        </is>
      </c>
      <c r="K63" s="14" t="inlineStr">
        <is>
          <t>Chip Resistor - Surface Mount</t>
        </is>
      </c>
    </row>
    <row r="64">
      <c r="A64" s="14" t="inlineStr">
        <is>
          <t>R4</t>
        </is>
      </c>
      <c r="B64" s="14" t="n">
        <v>65</v>
      </c>
      <c r="C64" s="14" t="inlineStr">
        <is>
          <t>4k7</t>
        </is>
      </c>
      <c r="D64" s="14" t="inlineStr">
        <is>
          <t>Resistor_SMD:R_0402_1005Metric</t>
        </is>
      </c>
      <c r="E64" s="15" t="inlineStr">
        <is>
          <t>TBD</t>
        </is>
      </c>
      <c r="F64" s="15" t="inlineStr">
        <is>
          <t>TBD</t>
        </is>
      </c>
      <c r="G64" s="14" t="inlineStr">
        <is>
          <t>USB_PD_CONTROLLER</t>
        </is>
      </c>
      <c r="H64" s="14" t="inlineStr"/>
      <c r="I64" s="14" t="inlineStr">
        <is>
          <t>R</t>
        </is>
      </c>
      <c r="J64" s="14" t="inlineStr">
        <is>
          <t>Resistors</t>
        </is>
      </c>
      <c r="K64" s="14" t="inlineStr">
        <is>
          <t>Chip Resistor - Surface Mount</t>
        </is>
      </c>
    </row>
    <row r="65">
      <c r="A65" s="14" t="inlineStr">
        <is>
          <t>R5</t>
        </is>
      </c>
      <c r="B65" s="14" t="n">
        <v>65</v>
      </c>
      <c r="C65" s="14" t="inlineStr">
        <is>
          <t>4k7</t>
        </is>
      </c>
      <c r="D65" s="14" t="inlineStr">
        <is>
          <t>Resistor_SMD:R_0402_1005Metric</t>
        </is>
      </c>
      <c r="E65" s="15" t="inlineStr">
        <is>
          <t>TBD</t>
        </is>
      </c>
      <c r="F65" s="15" t="inlineStr">
        <is>
          <t>TBD</t>
        </is>
      </c>
      <c r="G65" s="14" t="inlineStr">
        <is>
          <t>USB_PD_CONTROLLER</t>
        </is>
      </c>
      <c r="H65" s="14" t="inlineStr"/>
      <c r="I65" s="14" t="inlineStr">
        <is>
          <t>R</t>
        </is>
      </c>
      <c r="J65" s="14" t="inlineStr">
        <is>
          <t>Resistors</t>
        </is>
      </c>
      <c r="K65" s="14" t="inlineStr">
        <is>
          <t>Chip Resistor - Surface Mount</t>
        </is>
      </c>
    </row>
    <row r="66">
      <c r="A66" s="14" t="inlineStr">
        <is>
          <t>R6</t>
        </is>
      </c>
      <c r="B66" s="14" t="n">
        <v>65</v>
      </c>
      <c r="C66" s="14" t="inlineStr">
        <is>
          <t>4k7</t>
        </is>
      </c>
      <c r="D66" s="14" t="inlineStr">
        <is>
          <t>Resistor_SMD:R_0402_1005Metric</t>
        </is>
      </c>
      <c r="E66" s="15" t="inlineStr">
        <is>
          <t>TBD</t>
        </is>
      </c>
      <c r="F66" s="15" t="inlineStr">
        <is>
          <t>TBD</t>
        </is>
      </c>
      <c r="G66" s="14" t="inlineStr">
        <is>
          <t>USB_PD_CONTROLLER</t>
        </is>
      </c>
      <c r="H66" s="14" t="inlineStr"/>
      <c r="I66" s="14" t="inlineStr">
        <is>
          <t>R</t>
        </is>
      </c>
      <c r="J66" s="14" t="inlineStr">
        <is>
          <t>Resistors</t>
        </is>
      </c>
      <c r="K66" s="14" t="inlineStr">
        <is>
          <t>Chip Resistor - Surface Mount</t>
        </is>
      </c>
    </row>
    <row r="67">
      <c r="A67" s="14" t="inlineStr">
        <is>
          <t>R7</t>
        </is>
      </c>
      <c r="B67" s="14" t="n">
        <v>65</v>
      </c>
      <c r="C67" s="14" t="inlineStr">
        <is>
          <t>4k7</t>
        </is>
      </c>
      <c r="D67" s="14" t="inlineStr">
        <is>
          <t>Resistor_SMD:R_0402_1005Metric</t>
        </is>
      </c>
      <c r="E67" s="15" t="inlineStr">
        <is>
          <t>TBD</t>
        </is>
      </c>
      <c r="F67" s="15" t="inlineStr">
        <is>
          <t>TBD</t>
        </is>
      </c>
      <c r="G67" s="14" t="inlineStr">
        <is>
          <t>USB_PD_CONTROLLER</t>
        </is>
      </c>
      <c r="H67" s="14" t="inlineStr"/>
      <c r="I67" s="14" t="inlineStr">
        <is>
          <t>R</t>
        </is>
      </c>
      <c r="J67" s="14" t="inlineStr">
        <is>
          <t>Resistors</t>
        </is>
      </c>
      <c r="K67" s="14" t="inlineStr">
        <is>
          <t>Chip Resistor - Surface Mount</t>
        </is>
      </c>
    </row>
    <row r="68">
      <c r="A68" s="14" t="inlineStr">
        <is>
          <t>R8</t>
        </is>
      </c>
      <c r="B68" s="14" t="n">
        <v>53</v>
      </c>
      <c r="C68" s="14" t="inlineStr">
        <is>
          <t>12k</t>
        </is>
      </c>
      <c r="D68" s="14" t="inlineStr">
        <is>
          <t>Resistor_SMD:R_0402_1005Metric</t>
        </is>
      </c>
      <c r="E68" s="15" t="inlineStr">
        <is>
          <t>TBD</t>
        </is>
      </c>
      <c r="F68" s="15" t="inlineStr">
        <is>
          <t>TBD</t>
        </is>
      </c>
      <c r="G68" s="14" t="inlineStr">
        <is>
          <t>USB_PD_CONTROLLER</t>
        </is>
      </c>
      <c r="H68" s="14" t="inlineStr"/>
      <c r="I68" s="14" t="inlineStr">
        <is>
          <t>R</t>
        </is>
      </c>
      <c r="J68" s="14" t="inlineStr">
        <is>
          <t>Resistors</t>
        </is>
      </c>
      <c r="K68" s="14" t="inlineStr">
        <is>
          <t>Chip Resistor - Surface Mount</t>
        </is>
      </c>
    </row>
    <row r="69">
      <c r="A69" s="14" t="inlineStr">
        <is>
          <t>R9</t>
        </is>
      </c>
      <c r="B69" s="14" t="n">
        <v>57</v>
      </c>
      <c r="C69" s="14" t="inlineStr">
        <is>
          <t>20k</t>
        </is>
      </c>
      <c r="D69" s="14" t="inlineStr">
        <is>
          <t>Resistor_SMD:R_0402_1005Metric</t>
        </is>
      </c>
      <c r="E69" s="15" t="inlineStr">
        <is>
          <t>TBD</t>
        </is>
      </c>
      <c r="F69" s="15" t="inlineStr">
        <is>
          <t>TBD</t>
        </is>
      </c>
      <c r="G69" s="14" t="inlineStr">
        <is>
          <t>USB_PD_CONTROLLER</t>
        </is>
      </c>
      <c r="H69" s="14" t="inlineStr"/>
      <c r="I69" s="14" t="inlineStr">
        <is>
          <t>R</t>
        </is>
      </c>
      <c r="J69" s="14" t="inlineStr">
        <is>
          <t>Resistors</t>
        </is>
      </c>
      <c r="K69" s="14" t="inlineStr">
        <is>
          <t>Chip Resistor - Surface Mount</t>
        </is>
      </c>
    </row>
    <row r="70">
      <c r="A70" s="14" t="inlineStr">
        <is>
          <t>R10</t>
        </is>
      </c>
      <c r="B70" s="14" t="n">
        <v>51</v>
      </c>
      <c r="C70" s="14" t="inlineStr">
        <is>
          <t>10k</t>
        </is>
      </c>
      <c r="D70" s="14" t="inlineStr">
        <is>
          <t>Resistor_SMD:R_0402_1005Metric</t>
        </is>
      </c>
      <c r="E70" s="15" t="inlineStr">
        <is>
          <t>TBD</t>
        </is>
      </c>
      <c r="F70" s="15" t="inlineStr">
        <is>
          <t>TBD</t>
        </is>
      </c>
      <c r="G70" s="14" t="inlineStr">
        <is>
          <t>MCU</t>
        </is>
      </c>
      <c r="H70" s="14" t="inlineStr"/>
      <c r="I70" s="14" t="inlineStr">
        <is>
          <t>R</t>
        </is>
      </c>
      <c r="J70" s="14" t="inlineStr">
        <is>
          <t>Resistors</t>
        </is>
      </c>
      <c r="K70" s="14" t="inlineStr">
        <is>
          <t>Chip Resistor - Surface Mount</t>
        </is>
      </c>
    </row>
    <row r="71">
      <c r="A71" s="14" t="inlineStr">
        <is>
          <t>R11</t>
        </is>
      </c>
      <c r="B71" s="14" t="n">
        <v>66</v>
      </c>
      <c r="C71" s="14" t="inlineStr">
        <is>
          <t>5m0</t>
        </is>
      </c>
      <c r="D71" s="14" t="inlineStr">
        <is>
          <t>Resistor_SMD:R_2512_6332Metric</t>
        </is>
      </c>
      <c r="E71" s="15" t="inlineStr">
        <is>
          <t>TBD</t>
        </is>
      </c>
      <c r="F71" s="15" t="inlineStr">
        <is>
          <t>TBD</t>
        </is>
      </c>
      <c r="G71" s="14" t="inlineStr">
        <is>
          <t>USB_PD_CONTROLLER</t>
        </is>
      </c>
      <c r="H71" s="14" t="inlineStr"/>
      <c r="I71" s="14" t="inlineStr">
        <is>
          <t>RS</t>
        </is>
      </c>
      <c r="J71" s="14" t="inlineStr">
        <is>
          <t>Resistors</t>
        </is>
      </c>
      <c r="K71" s="14" t="inlineStr">
        <is>
          <t>Current Sense Resistors</t>
        </is>
      </c>
    </row>
    <row r="72">
      <c r="A72" s="14" t="inlineStr">
        <is>
          <t>R12</t>
        </is>
      </c>
      <c r="B72" s="14" t="n">
        <v>68</v>
      </c>
      <c r="C72" s="14" t="inlineStr">
        <is>
          <t>6k2</t>
        </is>
      </c>
      <c r="D72" s="14" t="inlineStr">
        <is>
          <t>Resistor_SMD:R_0402_1005Metric</t>
        </is>
      </c>
      <c r="E72" s="15" t="inlineStr">
        <is>
          <t>TBD</t>
        </is>
      </c>
      <c r="F72" s="15" t="inlineStr">
        <is>
          <t>TBD</t>
        </is>
      </c>
      <c r="G72" s="14" t="inlineStr">
        <is>
          <t>USB_PD_CONTROLLER</t>
        </is>
      </c>
      <c r="H72" s="14" t="inlineStr"/>
      <c r="I72" s="14" t="inlineStr">
        <is>
          <t>R</t>
        </is>
      </c>
      <c r="J72" s="14" t="inlineStr">
        <is>
          <t>Resistors</t>
        </is>
      </c>
      <c r="K72" s="14" t="inlineStr">
        <is>
          <t>Chip Resistor - Surface Mount</t>
        </is>
      </c>
    </row>
    <row r="73">
      <c r="A73" s="14" t="inlineStr">
        <is>
          <t>R13</t>
        </is>
      </c>
      <c r="B73" s="14" t="n">
        <v>45</v>
      </c>
      <c r="C73" s="14" t="inlineStr">
        <is>
          <t>100R</t>
        </is>
      </c>
      <c r="D73" s="14" t="inlineStr">
        <is>
          <t>Resistor_SMD:R_0402_1005Metric</t>
        </is>
      </c>
      <c r="E73" s="15" t="inlineStr">
        <is>
          <t>TBD</t>
        </is>
      </c>
      <c r="F73" s="15" t="inlineStr">
        <is>
          <t>TBD</t>
        </is>
      </c>
      <c r="G73" s="14" t="inlineStr">
        <is>
          <t>USB_PD_CONTROLLER</t>
        </is>
      </c>
      <c r="H73" s="14" t="inlineStr"/>
      <c r="I73" s="14" t="inlineStr">
        <is>
          <t>R</t>
        </is>
      </c>
      <c r="J73" s="14" t="inlineStr">
        <is>
          <t>Resistors</t>
        </is>
      </c>
      <c r="K73" s="14" t="inlineStr">
        <is>
          <t>Chip Resistor - Surface Mount</t>
        </is>
      </c>
    </row>
    <row r="74">
      <c r="A74" s="14" t="inlineStr">
        <is>
          <t>R14</t>
        </is>
      </c>
      <c r="B74" s="14" t="n">
        <v>61</v>
      </c>
      <c r="C74" s="14" t="inlineStr">
        <is>
          <t>2k2</t>
        </is>
      </c>
      <c r="D74" s="14" t="inlineStr">
        <is>
          <t>Resistor_SMD:R_0402_1005Metric</t>
        </is>
      </c>
      <c r="E74" s="15" t="inlineStr">
        <is>
          <t>TBD</t>
        </is>
      </c>
      <c r="F74" s="15" t="inlineStr">
        <is>
          <t>TBD</t>
        </is>
      </c>
      <c r="G74" s="14" t="inlineStr">
        <is>
          <t>USB_PD_CONTROLLER</t>
        </is>
      </c>
      <c r="H74" s="14" t="inlineStr"/>
      <c r="I74" s="14" t="inlineStr">
        <is>
          <t>R</t>
        </is>
      </c>
      <c r="J74" s="14" t="inlineStr">
        <is>
          <t>Resistors</t>
        </is>
      </c>
      <c r="K74" s="14" t="inlineStr">
        <is>
          <t>Chip Resistor - Surface Mount</t>
        </is>
      </c>
    </row>
    <row r="75">
      <c r="A75" s="14" t="inlineStr">
        <is>
          <t>R15</t>
        </is>
      </c>
      <c r="B75" s="14" t="n">
        <v>58</v>
      </c>
      <c r="C75" s="14" t="inlineStr">
        <is>
          <t>22R</t>
        </is>
      </c>
      <c r="D75" s="14" t="inlineStr">
        <is>
          <t>Resistor_SMD:R_0402_1005Metric</t>
        </is>
      </c>
      <c r="E75" s="15" t="inlineStr">
        <is>
          <t>TBD</t>
        </is>
      </c>
      <c r="F75" s="15" t="inlineStr">
        <is>
          <t>TBD</t>
        </is>
      </c>
      <c r="G75" s="14" t="inlineStr">
        <is>
          <t>MCU</t>
        </is>
      </c>
      <c r="H75" s="14" t="inlineStr"/>
      <c r="I75" s="14" t="inlineStr">
        <is>
          <t>R</t>
        </is>
      </c>
      <c r="J75" s="14" t="inlineStr">
        <is>
          <t>Resistors</t>
        </is>
      </c>
      <c r="K75" s="14" t="inlineStr">
        <is>
          <t>Chip Resistor - Surface Mount</t>
        </is>
      </c>
    </row>
    <row r="76">
      <c r="A76" s="14" t="inlineStr">
        <is>
          <t>R16</t>
        </is>
      </c>
      <c r="B76" s="14" t="n">
        <v>58</v>
      </c>
      <c r="C76" s="14" t="inlineStr">
        <is>
          <t>22R</t>
        </is>
      </c>
      <c r="D76" s="14" t="inlineStr">
        <is>
          <t>Resistor_SMD:R_0402_1005Metric</t>
        </is>
      </c>
      <c r="E76" s="15" t="inlineStr">
        <is>
          <t>TBD</t>
        </is>
      </c>
      <c r="F76" s="15" t="inlineStr">
        <is>
          <t>TBD</t>
        </is>
      </c>
      <c r="G76" s="14" t="inlineStr">
        <is>
          <t>MCU</t>
        </is>
      </c>
      <c r="H76" s="14" t="inlineStr"/>
      <c r="I76" s="14" t="inlineStr">
        <is>
          <t>R</t>
        </is>
      </c>
      <c r="J76" s="14" t="inlineStr">
        <is>
          <t>Resistors</t>
        </is>
      </c>
      <c r="K76" s="14" t="inlineStr">
        <is>
          <t>Chip Resistor - Surface Mount</t>
        </is>
      </c>
    </row>
    <row r="77">
      <c r="A77" s="14" t="inlineStr">
        <is>
          <t>R21</t>
        </is>
      </c>
      <c r="B77" s="14" t="n">
        <v>47</v>
      </c>
      <c r="C77" s="14" t="inlineStr">
        <is>
          <t>100k</t>
        </is>
      </c>
      <c r="D77" s="14" t="inlineStr">
        <is>
          <t>Resistor_SMD:R_0402_1005Metric</t>
        </is>
      </c>
      <c r="E77" s="15" t="inlineStr">
        <is>
          <t>TBD</t>
        </is>
      </c>
      <c r="F77" s="15" t="inlineStr">
        <is>
          <t>TBD</t>
        </is>
      </c>
      <c r="G77" s="14" t="inlineStr">
        <is>
          <t>USB_PD_CONTROLLER</t>
        </is>
      </c>
      <c r="H77" s="14" t="inlineStr">
        <is>
          <t>EVET</t>
        </is>
      </c>
      <c r="I77" s="14" t="inlineStr">
        <is>
          <t>R</t>
        </is>
      </c>
      <c r="J77" s="14" t="inlineStr">
        <is>
          <t>Resistors</t>
        </is>
      </c>
      <c r="K77" s="14" t="inlineStr">
        <is>
          <t>Chip Resistor - Surface Mount</t>
        </is>
      </c>
    </row>
    <row r="78">
      <c r="A78" s="14" t="inlineStr">
        <is>
          <t>R22</t>
        </is>
      </c>
      <c r="B78" s="14" t="n">
        <v>55</v>
      </c>
      <c r="C78" s="14" t="inlineStr">
        <is>
          <t>1k0</t>
        </is>
      </c>
      <c r="D78" s="14" t="inlineStr">
        <is>
          <t>Resistor_SMD:R_0402_1005Metric</t>
        </is>
      </c>
      <c r="E78" s="15" t="inlineStr">
        <is>
          <t>TBD</t>
        </is>
      </c>
      <c r="F78" s="15" t="inlineStr">
        <is>
          <t>TBD</t>
        </is>
      </c>
      <c r="G78" s="14" t="inlineStr">
        <is>
          <t>MCU</t>
        </is>
      </c>
      <c r="H78" s="14" t="inlineStr"/>
      <c r="I78" s="14" t="inlineStr">
        <is>
          <t>R</t>
        </is>
      </c>
      <c r="J78" s="14" t="inlineStr">
        <is>
          <t>Resistors</t>
        </is>
      </c>
      <c r="K78" s="14" t="inlineStr">
        <is>
          <t>Chip Resistor - Surface Mount</t>
        </is>
      </c>
    </row>
    <row r="79">
      <c r="A79" s="14" t="inlineStr">
        <is>
          <t>R23</t>
        </is>
      </c>
      <c r="B79" s="14" t="n">
        <v>51</v>
      </c>
      <c r="C79" s="14" t="inlineStr">
        <is>
          <t>10k</t>
        </is>
      </c>
      <c r="D79" s="14" t="inlineStr">
        <is>
          <t>Resistor_SMD:R_0402_1005Metric</t>
        </is>
      </c>
      <c r="E79" s="15" t="inlineStr">
        <is>
          <t>TBD</t>
        </is>
      </c>
      <c r="F79" s="15" t="inlineStr">
        <is>
          <t>TBD</t>
        </is>
      </c>
      <c r="G79" s="14" t="inlineStr">
        <is>
          <t>MCU</t>
        </is>
      </c>
      <c r="H79" s="14" t="inlineStr"/>
      <c r="I79" s="14" t="inlineStr">
        <is>
          <t>R</t>
        </is>
      </c>
      <c r="J79" s="14" t="inlineStr">
        <is>
          <t>Resistors</t>
        </is>
      </c>
      <c r="K79" s="14" t="inlineStr">
        <is>
          <t>Chip Resistor - Surface Mount</t>
        </is>
      </c>
    </row>
    <row r="80">
      <c r="A80" s="14" t="inlineStr">
        <is>
          <t>R24</t>
        </is>
      </c>
      <c r="B80" s="14" t="n">
        <v>65</v>
      </c>
      <c r="C80" s="14" t="inlineStr">
        <is>
          <t>4k7</t>
        </is>
      </c>
      <c r="D80" s="14" t="inlineStr">
        <is>
          <t>Resistor_SMD:R_0402_1005Metric</t>
        </is>
      </c>
      <c r="E80" s="15" t="inlineStr">
        <is>
          <t>TBD</t>
        </is>
      </c>
      <c r="F80" s="15" t="inlineStr">
        <is>
          <t>TBD</t>
        </is>
      </c>
      <c r="G80" s="14" t="inlineStr">
        <is>
          <t>MCU</t>
        </is>
      </c>
      <c r="H80" s="14" t="inlineStr"/>
      <c r="I80" s="14" t="inlineStr">
        <is>
          <t>R</t>
        </is>
      </c>
      <c r="J80" s="14" t="inlineStr">
        <is>
          <t>Resistors</t>
        </is>
      </c>
      <c r="K80" s="14" t="inlineStr">
        <is>
          <t>Chip Resistor - Surface Mount</t>
        </is>
      </c>
    </row>
    <row r="81">
      <c r="A81" s="14" t="inlineStr">
        <is>
          <t>R25</t>
        </is>
      </c>
      <c r="B81" s="14" t="n">
        <v>65</v>
      </c>
      <c r="C81" s="14" t="inlineStr">
        <is>
          <t>4k7</t>
        </is>
      </c>
      <c r="D81" s="14" t="inlineStr">
        <is>
          <t>Resistor_SMD:R_0402_1005Metric</t>
        </is>
      </c>
      <c r="E81" s="15" t="inlineStr">
        <is>
          <t>TBD</t>
        </is>
      </c>
      <c r="F81" s="15" t="inlineStr">
        <is>
          <t>TBD</t>
        </is>
      </c>
      <c r="G81" s="14" t="inlineStr">
        <is>
          <t>MCU</t>
        </is>
      </c>
      <c r="H81" s="14" t="inlineStr"/>
      <c r="I81" s="14" t="inlineStr">
        <is>
          <t>R</t>
        </is>
      </c>
      <c r="J81" s="14" t="inlineStr">
        <is>
          <t>Resistors</t>
        </is>
      </c>
      <c r="K81" s="14" t="inlineStr">
        <is>
          <t>Chip Resistor - Surface Mount</t>
        </is>
      </c>
    </row>
    <row r="82">
      <c r="A82" s="14" t="inlineStr">
        <is>
          <t>R26</t>
        </is>
      </c>
      <c r="B82" s="14" t="n">
        <v>65</v>
      </c>
      <c r="C82" s="14" t="inlineStr">
        <is>
          <t>4k7</t>
        </is>
      </c>
      <c r="D82" s="14" t="inlineStr">
        <is>
          <t>Resistor_SMD:R_0402_1005Metric</t>
        </is>
      </c>
      <c r="E82" s="15" t="inlineStr">
        <is>
          <t>TBD</t>
        </is>
      </c>
      <c r="F82" s="15" t="inlineStr">
        <is>
          <t>TBD</t>
        </is>
      </c>
      <c r="G82" s="14" t="inlineStr">
        <is>
          <t>MCU</t>
        </is>
      </c>
      <c r="H82" s="14" t="inlineStr"/>
      <c r="I82" s="14" t="inlineStr">
        <is>
          <t>R</t>
        </is>
      </c>
      <c r="J82" s="14" t="inlineStr">
        <is>
          <t>Resistors</t>
        </is>
      </c>
      <c r="K82" s="14" t="inlineStr">
        <is>
          <t>Chip Resistor - Surface Mount</t>
        </is>
      </c>
    </row>
    <row r="83">
      <c r="A83" s="14" t="inlineStr">
        <is>
          <t>R27</t>
        </is>
      </c>
      <c r="B83" s="14" t="n">
        <v>51</v>
      </c>
      <c r="C83" s="14" t="inlineStr">
        <is>
          <t>10k</t>
        </is>
      </c>
      <c r="D83" s="14" t="inlineStr">
        <is>
          <t>Resistor_SMD:R_0402_1005Metric</t>
        </is>
      </c>
      <c r="E83" s="15" t="inlineStr">
        <is>
          <t>TBD</t>
        </is>
      </c>
      <c r="F83" s="15" t="inlineStr">
        <is>
          <t>TBD</t>
        </is>
      </c>
      <c r="G83" s="14" t="inlineStr">
        <is>
          <t>USB_PD_CONTROLLER</t>
        </is>
      </c>
      <c r="H83" s="14" t="inlineStr"/>
      <c r="I83" s="14" t="inlineStr">
        <is>
          <t>R</t>
        </is>
      </c>
      <c r="J83" s="14" t="inlineStr">
        <is>
          <t>Resistors</t>
        </is>
      </c>
      <c r="K83" s="14" t="inlineStr">
        <is>
          <t>Chip Resistor - Surface Mount</t>
        </is>
      </c>
    </row>
    <row r="84">
      <c r="A84" s="14" t="inlineStr">
        <is>
          <t>R28</t>
        </is>
      </c>
      <c r="B84" s="14" t="n">
        <v>45</v>
      </c>
      <c r="C84" s="14" t="inlineStr">
        <is>
          <t>100R</t>
        </is>
      </c>
      <c r="D84" s="14" t="inlineStr">
        <is>
          <t>Resistor_SMD:R_0402_1005Metric</t>
        </is>
      </c>
      <c r="E84" s="15" t="inlineStr">
        <is>
          <t>TBD</t>
        </is>
      </c>
      <c r="F84" s="15" t="inlineStr">
        <is>
          <t>TBD</t>
        </is>
      </c>
      <c r="G84" s="14" t="inlineStr">
        <is>
          <t>USER INTERFACE</t>
        </is>
      </c>
      <c r="H84" s="14" t="inlineStr"/>
      <c r="I84" s="14" t="inlineStr">
        <is>
          <t>R</t>
        </is>
      </c>
      <c r="J84" s="14" t="inlineStr">
        <is>
          <t>Resistors</t>
        </is>
      </c>
      <c r="K84" s="14" t="inlineStr">
        <is>
          <t>Chip Resistor - Surface Mount</t>
        </is>
      </c>
    </row>
    <row r="85">
      <c r="A85" s="14" t="inlineStr">
        <is>
          <t>R29</t>
        </is>
      </c>
      <c r="B85" s="14" t="n">
        <v>48</v>
      </c>
      <c r="C85" s="14" t="inlineStr">
        <is>
          <t>100k</t>
        </is>
      </c>
      <c r="D85" s="14" t="inlineStr">
        <is>
          <t>Resistor_SMD:R_0402_1005Metric</t>
        </is>
      </c>
      <c r="E85" s="15" t="inlineStr">
        <is>
          <t>TBD</t>
        </is>
      </c>
      <c r="F85" s="15" t="inlineStr">
        <is>
          <t>TBD</t>
        </is>
      </c>
      <c r="G85" s="14" t="inlineStr">
        <is>
          <t>USER INTERFACE</t>
        </is>
      </c>
      <c r="H85" s="14" t="inlineStr"/>
      <c r="I85" s="14" t="inlineStr">
        <is>
          <t>R</t>
        </is>
      </c>
      <c r="J85" s="14" t="inlineStr">
        <is>
          <t>Resistors</t>
        </is>
      </c>
      <c r="K85" s="14" t="inlineStr">
        <is>
          <t>Chip Resistor - Surface Mount</t>
        </is>
      </c>
    </row>
    <row r="86">
      <c r="A86" s="14" t="inlineStr">
        <is>
          <t>R34</t>
        </is>
      </c>
      <c r="B86" s="14" t="n">
        <v>51</v>
      </c>
      <c r="C86" s="14" t="inlineStr">
        <is>
          <t>10k</t>
        </is>
      </c>
      <c r="D86" s="14" t="inlineStr">
        <is>
          <t>Resistor_SMD:R_0402_1005Metric</t>
        </is>
      </c>
      <c r="E86" s="15" t="inlineStr">
        <is>
          <t>TBD</t>
        </is>
      </c>
      <c r="F86" s="15" t="inlineStr">
        <is>
          <t>TBD</t>
        </is>
      </c>
      <c r="G86" s="14" t="inlineStr">
        <is>
          <t>USER INTERFACE</t>
        </is>
      </c>
      <c r="H86" s="14" t="inlineStr"/>
      <c r="I86" s="14" t="inlineStr">
        <is>
          <t>R</t>
        </is>
      </c>
      <c r="J86" s="14" t="inlineStr">
        <is>
          <t>Resistors</t>
        </is>
      </c>
      <c r="K86" s="14" t="inlineStr">
        <is>
          <t>Chip Resistor - Surface Mount</t>
        </is>
      </c>
    </row>
    <row r="87">
      <c r="A87" s="14" t="inlineStr">
        <is>
          <t>R35</t>
        </is>
      </c>
      <c r="B87" s="14" t="n">
        <v>51</v>
      </c>
      <c r="C87" s="14" t="inlineStr">
        <is>
          <t>10k</t>
        </is>
      </c>
      <c r="D87" s="14" t="inlineStr">
        <is>
          <t>Resistor_SMD:R_0402_1005Metric</t>
        </is>
      </c>
      <c r="E87" s="15" t="inlineStr">
        <is>
          <t>TBD</t>
        </is>
      </c>
      <c r="F87" s="15" t="inlineStr">
        <is>
          <t>TBD</t>
        </is>
      </c>
      <c r="G87" s="14" t="inlineStr">
        <is>
          <t>USER INTERFACE</t>
        </is>
      </c>
      <c r="H87" s="14" t="inlineStr"/>
      <c r="I87" s="14" t="inlineStr">
        <is>
          <t>R</t>
        </is>
      </c>
      <c r="J87" s="14" t="inlineStr">
        <is>
          <t>Resistors</t>
        </is>
      </c>
      <c r="K87" s="14" t="inlineStr">
        <is>
          <t>Chip Resistor - Surface Mount</t>
        </is>
      </c>
    </row>
    <row r="88">
      <c r="A88" s="14" t="inlineStr">
        <is>
          <t>R36</t>
        </is>
      </c>
      <c r="B88" s="14" t="n">
        <v>51</v>
      </c>
      <c r="C88" s="14" t="inlineStr">
        <is>
          <t>10k</t>
        </is>
      </c>
      <c r="D88" s="14" t="inlineStr">
        <is>
          <t>Resistor_SMD:R_0402_1005Metric</t>
        </is>
      </c>
      <c r="E88" s="15" t="inlineStr">
        <is>
          <t>TBD</t>
        </is>
      </c>
      <c r="F88" s="15" t="inlineStr">
        <is>
          <t>TBD</t>
        </is>
      </c>
      <c r="G88" s="14" t="inlineStr">
        <is>
          <t>USER INTERFACE</t>
        </is>
      </c>
      <c r="H88" s="14" t="inlineStr"/>
      <c r="I88" s="14" t="inlineStr">
        <is>
          <t>R</t>
        </is>
      </c>
      <c r="J88" s="14" t="inlineStr">
        <is>
          <t>Resistors</t>
        </is>
      </c>
      <c r="K88" s="14" t="inlineStr">
        <is>
          <t>Chip Resistor - Surface Mount</t>
        </is>
      </c>
    </row>
    <row r="89">
      <c r="A89" s="14" t="inlineStr">
        <is>
          <t>R37</t>
        </is>
      </c>
      <c r="B89" s="14" t="n">
        <v>51</v>
      </c>
      <c r="C89" s="14" t="inlineStr">
        <is>
          <t>10k</t>
        </is>
      </c>
      <c r="D89" s="14" t="inlineStr">
        <is>
          <t>Resistor_SMD:R_0402_1005Metric</t>
        </is>
      </c>
      <c r="E89" s="15" t="inlineStr">
        <is>
          <t>TBD</t>
        </is>
      </c>
      <c r="F89" s="15" t="inlineStr">
        <is>
          <t>TBD</t>
        </is>
      </c>
      <c r="G89" s="14" t="inlineStr">
        <is>
          <t>MCU</t>
        </is>
      </c>
      <c r="H89" s="14" t="inlineStr"/>
      <c r="I89" s="14" t="inlineStr">
        <is>
          <t>R</t>
        </is>
      </c>
      <c r="J89" s="14" t="inlineStr">
        <is>
          <t>Resistors</t>
        </is>
      </c>
      <c r="K89" s="14" t="inlineStr">
        <is>
          <t>Chip Resistor - Surface Mount</t>
        </is>
      </c>
    </row>
    <row r="90">
      <c r="A90" s="14" t="inlineStr">
        <is>
          <t>R38</t>
        </is>
      </c>
      <c r="B90" s="14" t="n">
        <v>46</v>
      </c>
      <c r="C90" s="14" t="inlineStr">
        <is>
          <t>100k</t>
        </is>
      </c>
      <c r="D90" s="14" t="inlineStr">
        <is>
          <t>Resistor_SMD:R_0402_1005Metric</t>
        </is>
      </c>
      <c r="E90" s="15" t="inlineStr">
        <is>
          <t>TBD</t>
        </is>
      </c>
      <c r="F90" s="15" t="inlineStr">
        <is>
          <t>TBD</t>
        </is>
      </c>
      <c r="G90" s="14" t="inlineStr">
        <is>
          <t>USB_PD_CONTROLLER</t>
        </is>
      </c>
      <c r="H90" s="14" t="inlineStr"/>
      <c r="I90" s="14" t="inlineStr">
        <is>
          <t>R</t>
        </is>
      </c>
      <c r="J90" s="14" t="inlineStr">
        <is>
          <t>Resistors</t>
        </is>
      </c>
      <c r="K90" s="14" t="inlineStr">
        <is>
          <t>Chip Resistor - Surface Mount</t>
        </is>
      </c>
    </row>
    <row r="91">
      <c r="A91" s="14" t="inlineStr">
        <is>
          <t>R39</t>
        </is>
      </c>
      <c r="B91" s="14" t="n">
        <v>50</v>
      </c>
      <c r="C91" s="14" t="inlineStr">
        <is>
          <t>10k</t>
        </is>
      </c>
      <c r="D91" s="14" t="inlineStr">
        <is>
          <t>Resistor_SMD:R_0402_1005Metric</t>
        </is>
      </c>
      <c r="E91" s="15" t="inlineStr">
        <is>
          <t>TBD</t>
        </is>
      </c>
      <c r="F91" s="15" t="inlineStr">
        <is>
          <t>TBD</t>
        </is>
      </c>
      <c r="G91" s="14" t="inlineStr">
        <is>
          <t>USB_PD_CONTROLLER</t>
        </is>
      </c>
      <c r="H91" s="14" t="inlineStr"/>
      <c r="I91" s="14" t="inlineStr">
        <is>
          <t>R</t>
        </is>
      </c>
      <c r="J91" s="14" t="inlineStr">
        <is>
          <t>Resistors</t>
        </is>
      </c>
      <c r="K91" s="14" t="inlineStr">
        <is>
          <t>Chip Resistor - Surface Mount</t>
        </is>
      </c>
    </row>
    <row r="92">
      <c r="A92" s="14" t="inlineStr">
        <is>
          <t>R40</t>
        </is>
      </c>
      <c r="B92" s="14" t="n">
        <v>63</v>
      </c>
      <c r="C92" s="14" t="inlineStr">
        <is>
          <t>3k20</t>
        </is>
      </c>
      <c r="D92" s="14" t="inlineStr">
        <is>
          <t>Resistor_SMD:R_0402_1005Metric</t>
        </is>
      </c>
      <c r="E92" s="15" t="inlineStr">
        <is>
          <t>TBD</t>
        </is>
      </c>
      <c r="F92" s="15" t="inlineStr">
        <is>
          <t>TBD</t>
        </is>
      </c>
      <c r="G92" s="14" t="inlineStr">
        <is>
          <t>USB_PD_CONTROLLER</t>
        </is>
      </c>
      <c r="H92" s="14" t="inlineStr"/>
      <c r="I92" s="14" t="inlineStr">
        <is>
          <t>R</t>
        </is>
      </c>
      <c r="J92" s="14" t="inlineStr">
        <is>
          <t>Resistors</t>
        </is>
      </c>
      <c r="K92" s="14" t="inlineStr">
        <is>
          <t>Chip Resistor - Surface Mount</t>
        </is>
      </c>
    </row>
    <row r="93">
      <c r="A93" s="14" t="inlineStr">
        <is>
          <t>R41</t>
        </is>
      </c>
      <c r="B93" s="14" t="n">
        <v>54</v>
      </c>
      <c r="C93" s="14" t="inlineStr">
        <is>
          <t>12k7</t>
        </is>
      </c>
      <c r="D93" s="14" t="inlineStr">
        <is>
          <t>Resistor_SMD:R_0402_1005Metric</t>
        </is>
      </c>
      <c r="E93" s="15" t="inlineStr">
        <is>
          <t>TBD</t>
        </is>
      </c>
      <c r="F93" s="15" t="inlineStr">
        <is>
          <t>TBD</t>
        </is>
      </c>
      <c r="G93" s="14" t="inlineStr">
        <is>
          <t>USB_PD_CONTROLLER</t>
        </is>
      </c>
      <c r="H93" s="14" t="inlineStr"/>
      <c r="I93" s="14" t="inlineStr">
        <is>
          <t>R</t>
        </is>
      </c>
      <c r="J93" s="14" t="inlineStr">
        <is>
          <t>Resistors</t>
        </is>
      </c>
      <c r="K93" s="14" t="inlineStr">
        <is>
          <t>Chip Resistor - Surface Mount</t>
        </is>
      </c>
    </row>
    <row r="94">
      <c r="A94" s="14" t="inlineStr">
        <is>
          <t>R42</t>
        </is>
      </c>
      <c r="B94" s="14" t="n">
        <v>48</v>
      </c>
      <c r="C94" s="14" t="inlineStr">
        <is>
          <t>100k</t>
        </is>
      </c>
      <c r="D94" s="14" t="inlineStr">
        <is>
          <t>Resistor_SMD:R_0402_1005Metric</t>
        </is>
      </c>
      <c r="E94" s="15" t="inlineStr">
        <is>
          <t>TBD</t>
        </is>
      </c>
      <c r="F94" s="15" t="inlineStr">
        <is>
          <t>TBD</t>
        </is>
      </c>
      <c r="G94" s="14" t="inlineStr">
        <is>
          <t>USB_PD_CONTROLLER</t>
        </is>
      </c>
      <c r="H94" s="14" t="inlineStr"/>
      <c r="I94" s="14" t="inlineStr">
        <is>
          <t>R</t>
        </is>
      </c>
      <c r="J94" s="14" t="inlineStr">
        <is>
          <t>Resistors</t>
        </is>
      </c>
      <c r="K94" s="14" t="inlineStr">
        <is>
          <t>Chip Resistor - Surface Mount</t>
        </is>
      </c>
    </row>
    <row r="95">
      <c r="A95" s="14" t="inlineStr">
        <is>
          <t>R43</t>
        </is>
      </c>
      <c r="B95" s="14" t="n">
        <v>56</v>
      </c>
      <c r="C95" s="14" t="inlineStr">
        <is>
          <t>1k0</t>
        </is>
      </c>
      <c r="D95" s="14" t="inlineStr">
        <is>
          <t>Resistor_SMD:R_2512_6332Metric</t>
        </is>
      </c>
      <c r="E95" s="15" t="inlineStr">
        <is>
          <t>TBD</t>
        </is>
      </c>
      <c r="F95" s="15" t="inlineStr">
        <is>
          <t>TBD</t>
        </is>
      </c>
      <c r="G95" s="14" t="inlineStr">
        <is>
          <t>USB_PD_CONTROLLER</t>
        </is>
      </c>
      <c r="H95" s="14" t="inlineStr"/>
      <c r="I95" s="14" t="inlineStr">
        <is>
          <t>R</t>
        </is>
      </c>
      <c r="J95" s="14" t="inlineStr">
        <is>
          <t>Resistors</t>
        </is>
      </c>
      <c r="K95" s="14" t="inlineStr">
        <is>
          <t>Chip Resistor - Surface Mount</t>
        </is>
      </c>
    </row>
    <row r="96">
      <c r="A96" s="14" t="inlineStr">
        <is>
          <t>R44</t>
        </is>
      </c>
      <c r="B96" s="14" t="n">
        <v>67</v>
      </c>
      <c r="C96" s="14" t="inlineStr">
        <is>
          <t>604k</t>
        </is>
      </c>
      <c r="D96" s="14" t="inlineStr">
        <is>
          <t>Resistor_SMD:R_0402_1005Metric</t>
        </is>
      </c>
      <c r="E96" s="15" t="inlineStr">
        <is>
          <t>TBD</t>
        </is>
      </c>
      <c r="F96" s="15" t="inlineStr">
        <is>
          <t>TBD</t>
        </is>
      </c>
      <c r="G96" s="14" t="inlineStr">
        <is>
          <t>USER INTERFACE</t>
        </is>
      </c>
      <c r="H96" s="14" t="inlineStr"/>
      <c r="I96" s="14" t="inlineStr">
        <is>
          <t>R</t>
        </is>
      </c>
      <c r="J96" s="14" t="inlineStr">
        <is>
          <t>Resistors</t>
        </is>
      </c>
      <c r="K96" s="14" t="inlineStr">
        <is>
          <t>Chip Resistor - Surface Mount</t>
        </is>
      </c>
    </row>
    <row r="97">
      <c r="A97" s="14" t="inlineStr">
        <is>
          <t>R45</t>
        </is>
      </c>
      <c r="B97" s="14" t="n">
        <v>49</v>
      </c>
      <c r="C97" s="14" t="inlineStr">
        <is>
          <t>100k</t>
        </is>
      </c>
      <c r="D97" s="14" t="inlineStr">
        <is>
          <t>Resistor_SMD:R_0402_1005Metric</t>
        </is>
      </c>
      <c r="E97" s="15" t="inlineStr">
        <is>
          <t>TBD</t>
        </is>
      </c>
      <c r="F97" s="15" t="inlineStr">
        <is>
          <t>TBD</t>
        </is>
      </c>
      <c r="G97" s="14" t="inlineStr">
        <is>
          <t>USER INTERFACE</t>
        </is>
      </c>
      <c r="H97" s="14" t="inlineStr"/>
      <c r="I97" s="14" t="inlineStr">
        <is>
          <t>R</t>
        </is>
      </c>
      <c r="J97" s="14" t="inlineStr">
        <is>
          <t>Resistors</t>
        </is>
      </c>
      <c r="K97" s="14" t="inlineStr">
        <is>
          <t>Chip Resistor - Surface Mount</t>
        </is>
      </c>
    </row>
    <row r="98">
      <c r="A98" s="14" t="inlineStr">
        <is>
          <t>R46</t>
        </is>
      </c>
      <c r="B98" s="14" t="n">
        <v>64</v>
      </c>
      <c r="C98" s="14" t="inlineStr">
        <is>
          <t>3k24</t>
        </is>
      </c>
      <c r="D98" s="14" t="inlineStr">
        <is>
          <t>Resistor_SMD:R_0402_1005Metric</t>
        </is>
      </c>
      <c r="E98" s="15" t="inlineStr">
        <is>
          <t>TBD</t>
        </is>
      </c>
      <c r="F98" s="15" t="inlineStr">
        <is>
          <t>TBD</t>
        </is>
      </c>
      <c r="G98" s="14" t="inlineStr">
        <is>
          <t>USER INTERFACE</t>
        </is>
      </c>
      <c r="H98" s="14" t="inlineStr"/>
      <c r="I98" s="14" t="inlineStr">
        <is>
          <t>R</t>
        </is>
      </c>
      <c r="J98" s="14" t="inlineStr">
        <is>
          <t>Resistors</t>
        </is>
      </c>
      <c r="K98" s="14" t="inlineStr">
        <is>
          <t>Chip Resistor - Surface Mount</t>
        </is>
      </c>
    </row>
    <row r="99">
      <c r="A99" s="14" t="inlineStr">
        <is>
          <t>R47</t>
        </is>
      </c>
      <c r="B99" s="14" t="n">
        <v>69</v>
      </c>
      <c r="C99" s="14" t="inlineStr">
        <is>
          <t>78k7</t>
        </is>
      </c>
      <c r="D99" s="14" t="inlineStr">
        <is>
          <t>Resistor_SMD:R_0402_1005Metric</t>
        </is>
      </c>
      <c r="E99" s="15" t="inlineStr">
        <is>
          <t>TBD</t>
        </is>
      </c>
      <c r="F99" s="15" t="inlineStr">
        <is>
          <t>TBD</t>
        </is>
      </c>
      <c r="G99" s="14" t="inlineStr">
        <is>
          <t>USB_PD_CONTROLLER</t>
        </is>
      </c>
      <c r="H99" s="14" t="inlineStr"/>
      <c r="I99" s="14" t="inlineStr">
        <is>
          <t>R</t>
        </is>
      </c>
      <c r="J99" s="14" t="inlineStr">
        <is>
          <t>Resistors</t>
        </is>
      </c>
      <c r="K99" s="14" t="inlineStr">
        <is>
          <t>Chip Resistor - Surface Mount</t>
        </is>
      </c>
    </row>
    <row r="100">
      <c r="A100" s="14" t="inlineStr">
        <is>
          <t>R48</t>
        </is>
      </c>
      <c r="B100" s="14" t="n">
        <v>62</v>
      </c>
      <c r="C100" s="14" t="inlineStr">
        <is>
          <t>30k1</t>
        </is>
      </c>
      <c r="D100" s="14" t="inlineStr">
        <is>
          <t>Resistor_SMD:R_0402_1005Metric</t>
        </is>
      </c>
      <c r="E100" s="15" t="inlineStr">
        <is>
          <t>TBD</t>
        </is>
      </c>
      <c r="F100" s="15" t="inlineStr">
        <is>
          <t>TBD</t>
        </is>
      </c>
      <c r="G100" s="14" t="inlineStr">
        <is>
          <t>USB_PD_CONTROLLER</t>
        </is>
      </c>
      <c r="H100" s="14" t="inlineStr"/>
      <c r="I100" s="14" t="inlineStr">
        <is>
          <t>R</t>
        </is>
      </c>
      <c r="J100" s="14" t="inlineStr">
        <is>
          <t>Resistors</t>
        </is>
      </c>
      <c r="K100" s="14" t="inlineStr">
        <is>
          <t>Chip Resistor - Surface Mount</t>
        </is>
      </c>
    </row>
    <row r="101">
      <c r="A101" s="14" t="inlineStr">
        <is>
          <t>R49</t>
        </is>
      </c>
      <c r="B101" s="14" t="n">
        <v>71</v>
      </c>
      <c r="C101" s="14" t="inlineStr">
        <is>
          <t>9k76</t>
        </is>
      </c>
      <c r="D101" s="14" t="inlineStr">
        <is>
          <t>Resistor_SMD:R_0402_1005Metric</t>
        </is>
      </c>
      <c r="E101" s="15" t="inlineStr">
        <is>
          <t>TBD</t>
        </is>
      </c>
      <c r="F101" s="15" t="inlineStr">
        <is>
          <t>TBD</t>
        </is>
      </c>
      <c r="G101" s="14" t="inlineStr">
        <is>
          <t>USB_PD_CONTROLLER</t>
        </is>
      </c>
      <c r="H101" s="14" t="inlineStr"/>
      <c r="I101" s="14" t="inlineStr">
        <is>
          <t>R</t>
        </is>
      </c>
      <c r="J101" s="14" t="inlineStr">
        <is>
          <t>Resistors</t>
        </is>
      </c>
      <c r="K101" s="14" t="inlineStr">
        <is>
          <t>Chip Resistor - Surface Mount</t>
        </is>
      </c>
    </row>
    <row r="102">
      <c r="A102" s="14" t="inlineStr">
        <is>
          <t>R50</t>
        </is>
      </c>
      <c r="B102" s="14" t="n">
        <v>70</v>
      </c>
      <c r="C102" s="14" t="inlineStr">
        <is>
          <t>820R</t>
        </is>
      </c>
      <c r="D102" s="14" t="inlineStr">
        <is>
          <t>Resistor_SMD:R_0402_1005Metric</t>
        </is>
      </c>
      <c r="E102" s="15" t="inlineStr">
        <is>
          <t>TBD</t>
        </is>
      </c>
      <c r="F102" s="15" t="inlineStr">
        <is>
          <t>TBD</t>
        </is>
      </c>
      <c r="G102" s="14" t="inlineStr">
        <is>
          <t>USB_PD_CONTROLLER</t>
        </is>
      </c>
      <c r="H102" s="14" t="inlineStr"/>
      <c r="I102" s="14" t="inlineStr">
        <is>
          <t>R</t>
        </is>
      </c>
      <c r="J102" s="14" t="inlineStr">
        <is>
          <t>Resistors</t>
        </is>
      </c>
      <c r="K102" s="14" t="inlineStr">
        <is>
          <t>Chip Resistor - Surface Mount</t>
        </is>
      </c>
    </row>
    <row r="103">
      <c r="A103" s="14" t="inlineStr">
        <is>
          <t>R51</t>
        </is>
      </c>
      <c r="B103" s="14" t="n">
        <v>55</v>
      </c>
      <c r="C103" s="14" t="inlineStr">
        <is>
          <t>1k0</t>
        </is>
      </c>
      <c r="D103" s="14" t="inlineStr">
        <is>
          <t>Resistor_SMD:R_0402_1005Metric</t>
        </is>
      </c>
      <c r="E103" s="15" t="inlineStr">
        <is>
          <t>TBD</t>
        </is>
      </c>
      <c r="F103" s="15" t="inlineStr">
        <is>
          <t>TBD</t>
        </is>
      </c>
      <c r="G103" s="14" t="inlineStr">
        <is>
          <t>USB_PD_CONTROLLER</t>
        </is>
      </c>
      <c r="H103" s="14" t="inlineStr"/>
      <c r="I103" s="14" t="inlineStr">
        <is>
          <t>R</t>
        </is>
      </c>
      <c r="J103" s="14" t="inlineStr">
        <is>
          <t>Resistors</t>
        </is>
      </c>
      <c r="K103" s="14" t="inlineStr">
        <is>
          <t>Chip Resistor - Surface Mount</t>
        </is>
      </c>
    </row>
    <row r="104">
      <c r="A104" s="14" t="inlineStr">
        <is>
          <t>R52</t>
        </is>
      </c>
      <c r="B104" s="14" t="n">
        <v>60</v>
      </c>
      <c r="C104" s="14" t="inlineStr">
        <is>
          <t>2k0</t>
        </is>
      </c>
      <c r="D104" s="14" t="inlineStr">
        <is>
          <t>Resistor_SMD:R_0402_1005Metric</t>
        </is>
      </c>
      <c r="E104" s="15" t="inlineStr">
        <is>
          <t>TBD</t>
        </is>
      </c>
      <c r="F104" s="15" t="inlineStr">
        <is>
          <t>TBD</t>
        </is>
      </c>
      <c r="G104" s="14" t="inlineStr">
        <is>
          <t>USB_PD_CONTROLLER</t>
        </is>
      </c>
      <c r="H104" s="14" t="inlineStr"/>
      <c r="I104" s="14" t="inlineStr">
        <is>
          <t>R</t>
        </is>
      </c>
      <c r="J104" s="14" t="inlineStr">
        <is>
          <t>Resistors</t>
        </is>
      </c>
      <c r="K104" s="14" t="inlineStr">
        <is>
          <t>Chip Resistor - Surface Mount</t>
        </is>
      </c>
    </row>
    <row r="105">
      <c r="A105" s="14" t="inlineStr">
        <is>
          <t>R53</t>
        </is>
      </c>
      <c r="B105" s="14" t="n">
        <v>48</v>
      </c>
      <c r="C105" s="14" t="inlineStr">
        <is>
          <t>100k</t>
        </is>
      </c>
      <c r="D105" s="14" t="inlineStr">
        <is>
          <t>Resistor_SMD:R_0402_1005Metric</t>
        </is>
      </c>
      <c r="E105" s="15" t="inlineStr">
        <is>
          <t>TBD</t>
        </is>
      </c>
      <c r="F105" s="15" t="inlineStr">
        <is>
          <t>TBD</t>
        </is>
      </c>
      <c r="G105" s="14" t="inlineStr">
        <is>
          <t>USB_PD_CONTROLLER</t>
        </is>
      </c>
      <c r="H105" s="14" t="inlineStr"/>
      <c r="I105" s="14" t="inlineStr">
        <is>
          <t>R</t>
        </is>
      </c>
      <c r="J105" s="14" t="inlineStr">
        <is>
          <t>Resistors</t>
        </is>
      </c>
      <c r="K105" s="14" t="inlineStr">
        <is>
          <t>Chip Resistor - Surface Mount</t>
        </is>
      </c>
    </row>
    <row r="106">
      <c r="A106" s="14" t="inlineStr">
        <is>
          <t>R54</t>
        </is>
      </c>
      <c r="B106" s="14" t="n">
        <v>55</v>
      </c>
      <c r="C106" s="14" t="inlineStr">
        <is>
          <t>1k0</t>
        </is>
      </c>
      <c r="D106" s="14" t="inlineStr">
        <is>
          <t>Resistor_SMD:R_0402_1005Metric</t>
        </is>
      </c>
      <c r="E106" s="15" t="inlineStr">
        <is>
          <t>TBD</t>
        </is>
      </c>
      <c r="F106" s="15" t="inlineStr">
        <is>
          <t>TBD</t>
        </is>
      </c>
      <c r="G106" s="14" t="inlineStr">
        <is>
          <t>USB_PD_CONTROLLER</t>
        </is>
      </c>
      <c r="H106" s="14" t="inlineStr"/>
      <c r="I106" s="14" t="inlineStr">
        <is>
          <t>R</t>
        </is>
      </c>
      <c r="J106" s="14" t="inlineStr">
        <is>
          <t>Resistors</t>
        </is>
      </c>
      <c r="K106" s="14" t="inlineStr">
        <is>
          <t>Chip Resistor - Surface Mount</t>
        </is>
      </c>
    </row>
    <row r="107">
      <c r="A107" s="14" t="inlineStr">
        <is>
          <t>R55</t>
        </is>
      </c>
      <c r="B107" s="14" t="n">
        <v>59</v>
      </c>
      <c r="C107" s="14" t="inlineStr">
        <is>
          <t>232k</t>
        </is>
      </c>
      <c r="D107" s="14" t="inlineStr">
        <is>
          <t>Resistor_SMD:R_0402_1005Metric</t>
        </is>
      </c>
      <c r="E107" s="15" t="inlineStr">
        <is>
          <t>TBD</t>
        </is>
      </c>
      <c r="F107" s="15" t="inlineStr">
        <is>
          <t>TBD</t>
        </is>
      </c>
      <c r="G107" s="14" t="inlineStr">
        <is>
          <t>USB_PD_CONTROLLER</t>
        </is>
      </c>
      <c r="H107" s="14" t="inlineStr"/>
      <c r="I107" s="14" t="inlineStr">
        <is>
          <t>R</t>
        </is>
      </c>
      <c r="J107" s="14" t="inlineStr">
        <is>
          <t>Resistors</t>
        </is>
      </c>
      <c r="K107" s="14" t="inlineStr">
        <is>
          <t>Chip Resistor - Surface Mount</t>
        </is>
      </c>
    </row>
    <row r="108">
      <c r="A108" s="14" t="inlineStr">
        <is>
          <t>R56</t>
        </is>
      </c>
      <c r="B108" s="14" t="n">
        <v>51</v>
      </c>
      <c r="C108" s="14" t="inlineStr">
        <is>
          <t>10k</t>
        </is>
      </c>
      <c r="D108" s="14" t="inlineStr">
        <is>
          <t>Resistor_SMD:R_0402_1005Metric</t>
        </is>
      </c>
      <c r="E108" s="15" t="inlineStr">
        <is>
          <t>TBD</t>
        </is>
      </c>
      <c r="F108" s="15" t="inlineStr">
        <is>
          <t>TBD</t>
        </is>
      </c>
      <c r="G108" s="14" t="inlineStr">
        <is>
          <t>USB_PD_CONTROLLER</t>
        </is>
      </c>
      <c r="H108" s="14" t="inlineStr"/>
      <c r="I108" s="14" t="inlineStr">
        <is>
          <t>R</t>
        </is>
      </c>
      <c r="J108" s="14" t="inlineStr">
        <is>
          <t>Resistors</t>
        </is>
      </c>
      <c r="K108" s="14" t="inlineStr">
        <is>
          <t>Chip Resistor - Surface Mount</t>
        </is>
      </c>
    </row>
    <row r="109">
      <c r="A109" s="14" t="inlineStr">
        <is>
          <t>R57</t>
        </is>
      </c>
      <c r="B109" s="14" t="n">
        <v>51</v>
      </c>
      <c r="C109" s="14" t="inlineStr">
        <is>
          <t>10k</t>
        </is>
      </c>
      <c r="D109" s="14" t="inlineStr">
        <is>
          <t>Resistor_SMD:R_0402_1005Metric</t>
        </is>
      </c>
      <c r="E109" s="15" t="inlineStr">
        <is>
          <t>TBD</t>
        </is>
      </c>
      <c r="F109" s="15" t="inlineStr">
        <is>
          <t>TBD</t>
        </is>
      </c>
      <c r="G109" s="14" t="inlineStr">
        <is>
          <t>USB_PD_CONTROLLER</t>
        </is>
      </c>
      <c r="H109" s="14" t="inlineStr"/>
      <c r="I109" s="14" t="inlineStr">
        <is>
          <t>R</t>
        </is>
      </c>
      <c r="J109" s="14" t="inlineStr">
        <is>
          <t>Resistors</t>
        </is>
      </c>
      <c r="K109" s="14" t="inlineStr">
        <is>
          <t>Chip Resistor - Surface Mount</t>
        </is>
      </c>
    </row>
    <row r="110">
      <c r="A110" s="14" t="inlineStr">
        <is>
          <t>R58</t>
        </is>
      </c>
      <c r="B110" s="14" t="n">
        <v>48</v>
      </c>
      <c r="C110" s="14" t="inlineStr">
        <is>
          <t>100k</t>
        </is>
      </c>
      <c r="D110" s="14" t="inlineStr">
        <is>
          <t>Resistor_SMD:R_0402_1005Metric</t>
        </is>
      </c>
      <c r="E110" s="15" t="inlineStr">
        <is>
          <t>TBD</t>
        </is>
      </c>
      <c r="F110" s="15" t="inlineStr">
        <is>
          <t>TBD</t>
        </is>
      </c>
      <c r="G110" s="14" t="inlineStr">
        <is>
          <t>USB_PD_CONTROLLER</t>
        </is>
      </c>
      <c r="H110" s="14" t="inlineStr"/>
      <c r="I110" s="14" t="inlineStr">
        <is>
          <t>R</t>
        </is>
      </c>
      <c r="J110" s="14" t="inlineStr">
        <is>
          <t>Resistors</t>
        </is>
      </c>
      <c r="K110" s="14" t="inlineStr">
        <is>
          <t>Chip Resistor - Surface Mount</t>
        </is>
      </c>
    </row>
    <row r="111">
      <c r="A111" s="14" t="inlineStr">
        <is>
          <t>R59</t>
        </is>
      </c>
      <c r="B111" s="14" t="n">
        <v>52</v>
      </c>
      <c r="C111" s="14" t="inlineStr">
        <is>
          <t>10k</t>
        </is>
      </c>
      <c r="D111" s="14" t="inlineStr">
        <is>
          <t>Resistor_SMD:R_0402_1005Metric</t>
        </is>
      </c>
      <c r="E111" s="15" t="inlineStr">
        <is>
          <t>TBD</t>
        </is>
      </c>
      <c r="F111" s="15" t="inlineStr">
        <is>
          <t>TBD</t>
        </is>
      </c>
      <c r="G111" s="14" t="inlineStr">
        <is>
          <t>USB_PD_CONTROLLER</t>
        </is>
      </c>
      <c r="H111" s="14" t="inlineStr"/>
      <c r="I111" s="14" t="inlineStr">
        <is>
          <t>R</t>
        </is>
      </c>
      <c r="J111" s="14" t="inlineStr">
        <is>
          <t>Resistors</t>
        </is>
      </c>
      <c r="K111" s="14" t="inlineStr">
        <is>
          <t>Chip Resistor - Surface Mount</t>
        </is>
      </c>
    </row>
    <row r="112">
      <c r="A112" s="14" t="inlineStr">
        <is>
          <t>RShunt1</t>
        </is>
      </c>
      <c r="B112" s="14" t="n">
        <v>66</v>
      </c>
      <c r="C112" s="14" t="inlineStr">
        <is>
          <t>5m0</t>
        </is>
      </c>
      <c r="D112" s="14" t="inlineStr">
        <is>
          <t>Resistor_SMD:R_2512_6332Metric</t>
        </is>
      </c>
      <c r="E112" s="15" t="inlineStr">
        <is>
          <t>TBD</t>
        </is>
      </c>
      <c r="F112" s="15" t="inlineStr">
        <is>
          <t>TBD</t>
        </is>
      </c>
      <c r="G112" s="14" t="inlineStr">
        <is>
          <t>USB_PD_CONTROLLER</t>
        </is>
      </c>
      <c r="H112" s="14" t="inlineStr"/>
      <c r="I112" s="14" t="inlineStr">
        <is>
          <t>RS</t>
        </is>
      </c>
      <c r="J112" s="14" t="inlineStr">
        <is>
          <t>Resistors</t>
        </is>
      </c>
      <c r="K112" s="14" t="inlineStr">
        <is>
          <t>Current Sense Resistors</t>
        </is>
      </c>
    </row>
    <row r="113">
      <c r="A113" s="14" t="inlineStr">
        <is>
          <t>TH1</t>
        </is>
      </c>
      <c r="B113" s="14" t="n">
        <v>72</v>
      </c>
      <c r="C113" s="14" t="inlineStr">
        <is>
          <t>10k NTC</t>
        </is>
      </c>
      <c r="D113" s="14" t="inlineStr">
        <is>
          <t>Resistor_SMD:R_0402_1005Metric</t>
        </is>
      </c>
      <c r="E113" s="14" t="inlineStr">
        <is>
          <t>THINKING</t>
        </is>
      </c>
      <c r="F113" s="14" t="inlineStr">
        <is>
          <t>TSM0B103F3381RZ</t>
        </is>
      </c>
      <c r="G113" s="14" t="inlineStr">
        <is>
          <t>USB_PD_CONTROLLER</t>
        </is>
      </c>
      <c r="H113" s="14" t="inlineStr"/>
      <c r="I113" s="14" t="inlineStr"/>
      <c r="J113" s="14" t="inlineStr">
        <is>
          <t>Sensors, Transducers</t>
        </is>
      </c>
      <c r="K113" s="14" t="inlineStr">
        <is>
          <t>Temperature Sensors - NTC Thermistors</t>
        </is>
      </c>
    </row>
    <row r="114">
      <c r="A114" s="14" t="inlineStr">
        <is>
          <t>J3</t>
        </is>
      </c>
      <c r="B114" s="14" t="n">
        <v>76</v>
      </c>
      <c r="C114" s="14" t="inlineStr">
        <is>
          <t>NHD-2.4-240320AF-CSXP</t>
        </is>
      </c>
      <c r="D114" s="14" t="inlineStr">
        <is>
          <t>Molex_541324062:CON_541324062_MOL</t>
        </is>
      </c>
      <c r="E114" s="14" t="inlineStr">
        <is>
          <t>Molex</t>
        </is>
      </c>
      <c r="F114" s="14" t="inlineStr">
        <is>
          <t>54132-4062</t>
        </is>
      </c>
      <c r="G114" s="14" t="inlineStr">
        <is>
          <t>USER INTERFACE</t>
        </is>
      </c>
      <c r="H114" s="14" t="inlineStr"/>
      <c r="I114" s="14" t="inlineStr">
        <is>
          <t>J</t>
        </is>
      </c>
      <c r="J114" s="14" t="inlineStr">
        <is>
          <t>Connectors, Interconnects</t>
        </is>
      </c>
      <c r="K114" s="14" t="inlineStr">
        <is>
          <t>-</t>
        </is>
      </c>
    </row>
    <row r="115">
      <c r="A115" s="14" t="inlineStr">
        <is>
          <t>J4</t>
        </is>
      </c>
      <c r="B115" s="14" t="n">
        <v>75</v>
      </c>
      <c r="C115" s="14" t="inlineStr">
        <is>
          <t>DG142R-5.08-02P-14-00AH</t>
        </is>
      </c>
      <c r="D115" s="14" t="inlineStr">
        <is>
          <t>DG142R-5.08-02P-14-00AH:DG142R-5.08-02P-14-00AH</t>
        </is>
      </c>
      <c r="E115" s="14" t="inlineStr">
        <is>
          <t>DEGSON</t>
        </is>
      </c>
      <c r="F115" s="14" t="inlineStr">
        <is>
          <t>DG142R-5.08-02P-14-00AH</t>
        </is>
      </c>
      <c r="G115" s="14" t="inlineStr">
        <is>
          <t>USB_PD_CONTROLLER</t>
        </is>
      </c>
      <c r="H115" s="14" t="inlineStr"/>
      <c r="I115" s="14" t="inlineStr">
        <is>
          <t>J-PWR</t>
        </is>
      </c>
      <c r="J115" s="14" t="inlineStr">
        <is>
          <t>Connectors, Interconnects</t>
        </is>
      </c>
      <c r="K115" s="14" t="inlineStr">
        <is>
          <t>Terminal Blocks</t>
        </is>
      </c>
    </row>
    <row r="116">
      <c r="A116" s="14" t="inlineStr">
        <is>
          <t>J5</t>
        </is>
      </c>
      <c r="B116" s="14" t="n">
        <v>73</v>
      </c>
      <c r="C116" s="14" t="inlineStr">
        <is>
          <t>108-0902-001</t>
        </is>
      </c>
      <c r="D116" s="14" t="inlineStr">
        <is>
          <t>Power_Output_Custom:Cinch_108-0902-001_Panel</t>
        </is>
      </c>
      <c r="E116" s="14" t="inlineStr">
        <is>
          <t>Cinch Johnson</t>
        </is>
      </c>
      <c r="F116" s="14" t="inlineStr">
        <is>
          <t>108-0902-001</t>
        </is>
      </c>
      <c r="G116" s="14" t="inlineStr">
        <is>
          <t>USB_PD_CONTROLLER</t>
        </is>
      </c>
      <c r="H116" s="14" t="inlineStr"/>
      <c r="I116" s="14" t="inlineStr">
        <is>
          <t>J</t>
        </is>
      </c>
      <c r="J116" s="14" t="inlineStr">
        <is>
          <t>Connectors, Interconnects</t>
        </is>
      </c>
      <c r="K116" s="14" t="inlineStr">
        <is>
          <t>-</t>
        </is>
      </c>
    </row>
    <row r="117">
      <c r="A117" s="14" t="inlineStr">
        <is>
          <t>J6</t>
        </is>
      </c>
      <c r="B117" s="14" t="n">
        <v>74</v>
      </c>
      <c r="C117" s="14" t="inlineStr">
        <is>
          <t>108-0903-001</t>
        </is>
      </c>
      <c r="D117" s="14" t="inlineStr">
        <is>
          <t>Power_Output_Custom:Cinch_108-0903-001_Panel</t>
        </is>
      </c>
      <c r="E117" s="14" t="inlineStr">
        <is>
          <t>Cinch Johnson</t>
        </is>
      </c>
      <c r="F117" s="14" t="inlineStr">
        <is>
          <t>108-0903-001</t>
        </is>
      </c>
      <c r="G117" s="14" t="inlineStr">
        <is>
          <t>USB_PD_CONTROLLER</t>
        </is>
      </c>
      <c r="H117" s="14" t="inlineStr"/>
      <c r="I117" s="14" t="inlineStr">
        <is>
          <t>J</t>
        </is>
      </c>
      <c r="J117" s="14" t="inlineStr">
        <is>
          <t>Connectors, Interconnects</t>
        </is>
      </c>
      <c r="K117" s="14" t="inlineStr">
        <is>
          <t>-</t>
        </is>
      </c>
    </row>
    <row r="118">
      <c r="A118" s="14" t="inlineStr">
        <is>
          <t>J7</t>
        </is>
      </c>
      <c r="B118" s="14" t="n">
        <v>77</v>
      </c>
      <c r="C118" s="14" t="inlineStr">
        <is>
          <t>USB_C_Receptacle_USB2.0_16P</t>
        </is>
      </c>
      <c r="D118" s="14" t="inlineStr">
        <is>
          <t>Connector_USB:USB_C_Receptacle_GCT_USB4105-xx-A_16P_TopMnt_Horizontal</t>
        </is>
      </c>
      <c r="E118" s="14" t="inlineStr">
        <is>
          <t>GCT</t>
        </is>
      </c>
      <c r="F118" s="14" t="inlineStr">
        <is>
          <t>USB4105-GF-A</t>
        </is>
      </c>
      <c r="G118" s="14" t="inlineStr">
        <is>
          <t>USB_C_INPUT</t>
        </is>
      </c>
      <c r="H118" s="14" t="inlineStr"/>
      <c r="I118" s="14" t="inlineStr">
        <is>
          <t>J-USB</t>
        </is>
      </c>
      <c r="J118" s="14" t="inlineStr">
        <is>
          <t>Connectors, Interconnects</t>
        </is>
      </c>
      <c r="K118" s="14" t="inlineStr">
        <is>
          <t>USB, DVI, HDMI Connectors</t>
        </is>
      </c>
    </row>
    <row r="119">
      <c r="A119" s="14" t="inlineStr">
        <is>
          <t>SW1</t>
        </is>
      </c>
      <c r="B119" s="14" t="n">
        <v>78</v>
      </c>
      <c r="C119" s="14" t="inlineStr">
        <is>
          <t>BOOT / PTS810</t>
        </is>
      </c>
      <c r="D119" s="14" t="inlineStr">
        <is>
          <t>Button_Switch_SMD:SW_SPST_PTS810</t>
        </is>
      </c>
      <c r="E119" s="14" t="inlineStr">
        <is>
          <t>C&amp;K</t>
        </is>
      </c>
      <c r="F119" s="14" t="inlineStr">
        <is>
          <t>PTS810 SJS 250 SMTR LFS</t>
        </is>
      </c>
      <c r="G119" s="14" t="inlineStr">
        <is>
          <t>MCU</t>
        </is>
      </c>
      <c r="H119" s="14" t="inlineStr"/>
      <c r="I119" s="14" t="inlineStr">
        <is>
          <t>SW</t>
        </is>
      </c>
      <c r="J119" s="14" t="inlineStr">
        <is>
          <t>Switches</t>
        </is>
      </c>
      <c r="K119" s="14" t="inlineStr">
        <is>
          <t>Rotary Encoders / Tactile Switches</t>
        </is>
      </c>
    </row>
    <row r="120">
      <c r="A120" s="14" t="inlineStr">
        <is>
          <t>SW2</t>
        </is>
      </c>
      <c r="B120" s="14" t="n">
        <v>80</v>
      </c>
      <c r="C120" s="14" t="inlineStr">
        <is>
          <t>RESET / PTS810</t>
        </is>
      </c>
      <c r="D120" s="14" t="inlineStr">
        <is>
          <t>Button_Switch_SMD:SW_SPST_PTS810</t>
        </is>
      </c>
      <c r="E120" s="14" t="inlineStr">
        <is>
          <t>C&amp;K</t>
        </is>
      </c>
      <c r="F120" s="14" t="inlineStr">
        <is>
          <t>PTS810 SJS 250 SMTR LFS</t>
        </is>
      </c>
      <c r="G120" s="14" t="inlineStr">
        <is>
          <t>MCU</t>
        </is>
      </c>
      <c r="H120" s="14" t="inlineStr"/>
      <c r="I120" s="14" t="inlineStr">
        <is>
          <t>SW</t>
        </is>
      </c>
      <c r="J120" s="14" t="inlineStr">
        <is>
          <t>Switches</t>
        </is>
      </c>
      <c r="K120" s="14" t="inlineStr">
        <is>
          <t>Rotary Encoders / Tactile Switches</t>
        </is>
      </c>
    </row>
    <row r="121">
      <c r="A121" s="14" t="inlineStr">
        <is>
          <t>SW3</t>
        </is>
      </c>
      <c r="B121" s="14" t="n">
        <v>79</v>
      </c>
      <c r="C121" s="14" t="inlineStr">
        <is>
          <t>L-KLS4-EC1121S-E5A-F12.5</t>
        </is>
      </c>
      <c r="D121" s="14" t="inlineStr">
        <is>
          <t>L-KLS4-EC1121S-E5A-F12.5:L-KLS4-EC1121S-E5A-F12.5</t>
        </is>
      </c>
      <c r="E121" s="14" t="inlineStr">
        <is>
          <t>KLS Electronic</t>
        </is>
      </c>
      <c r="F121" s="14" t="inlineStr">
        <is>
          <t>L-KLS4-EC1121S-E5A-F12.5</t>
        </is>
      </c>
      <c r="G121" s="14" t="inlineStr">
        <is>
          <t>USER INTERFACE</t>
        </is>
      </c>
      <c r="H121" s="14" t="inlineStr"/>
      <c r="I121" s="14" t="inlineStr">
        <is>
          <t>SW</t>
        </is>
      </c>
      <c r="J121" s="14" t="inlineStr">
        <is>
          <t>Switches</t>
        </is>
      </c>
      <c r="K121" s="14" t="inlineStr">
        <is>
          <t>Rotary Encoders / Tactile Switches</t>
        </is>
      </c>
    </row>
    <row r="122">
      <c r="A122" s="14" t="inlineStr">
        <is>
          <t>BT1</t>
        </is>
      </c>
      <c r="B122" s="14" t="n">
        <v>81</v>
      </c>
      <c r="C122" s="14" t="inlineStr">
        <is>
          <t>CR2032 holder</t>
        </is>
      </c>
      <c r="D122" s="14" t="inlineStr">
        <is>
          <t>Power_Output_Custom:KLS_CR2032_05</t>
        </is>
      </c>
      <c r="E122" s="14" t="inlineStr">
        <is>
          <t>KLS Electronic</t>
        </is>
      </c>
      <c r="F122" s="14" t="inlineStr">
        <is>
          <t>L-KLS5-CR2032-05-R1</t>
        </is>
      </c>
      <c r="G122" s="14" t="inlineStr">
        <is>
          <t>MCU</t>
        </is>
      </c>
      <c r="H122" s="14" t="inlineStr"/>
      <c r="I122" s="14" t="inlineStr">
        <is>
          <t>BT</t>
        </is>
      </c>
      <c r="J122" s="14" t="inlineStr">
        <is>
          <t>Battery Products</t>
        </is>
      </c>
      <c r="K122" s="14" t="inlineStr">
        <is>
          <t>Batteries / Battery Holders</t>
        </is>
      </c>
    </row>
    <row r="123">
      <c r="A123" s="14" t="inlineStr">
        <is>
          <t>TP1</t>
        </is>
      </c>
      <c r="B123" s="14" t="n">
        <v>82</v>
      </c>
      <c r="C123" s="14" t="inlineStr">
        <is>
          <t>TestPoint</t>
        </is>
      </c>
      <c r="D123" s="14" t="inlineStr">
        <is>
          <t>TestPoint:TestPoint_Pad_D1.0mm</t>
        </is>
      </c>
      <c r="E123" s="14" t="inlineStr">
        <is>
          <t>N/A</t>
        </is>
      </c>
      <c r="F123" s="14" t="inlineStr">
        <is>
          <t>N/A</t>
        </is>
      </c>
      <c r="G123" s="14" t="inlineStr">
        <is>
          <t>USB_PD_CONTROLLER</t>
        </is>
      </c>
      <c r="H123" s="14" t="inlineStr"/>
      <c r="I123" s="14" t="inlineStr">
        <is>
          <t>TP</t>
        </is>
      </c>
      <c r="J123" s="14" t="inlineStr">
        <is>
          <t>Test and Measurement</t>
        </is>
      </c>
      <c r="K123" s="14" t="inlineStr">
        <is>
          <t>Test Points</t>
        </is>
      </c>
    </row>
    <row r="124">
      <c r="A124" s="14" t="inlineStr">
        <is>
          <t>TP2</t>
        </is>
      </c>
      <c r="B124" s="14" t="n">
        <v>82</v>
      </c>
      <c r="C124" s="14" t="inlineStr">
        <is>
          <t>TestPoint</t>
        </is>
      </c>
      <c r="D124" s="14" t="inlineStr">
        <is>
          <t>TestPoint:TestPoint_Pad_D1.0mm</t>
        </is>
      </c>
      <c r="E124" s="14" t="inlineStr">
        <is>
          <t>N/A</t>
        </is>
      </c>
      <c r="F124" s="14" t="inlineStr">
        <is>
          <t>N/A</t>
        </is>
      </c>
      <c r="G124" s="14" t="inlineStr">
        <is>
          <t>USB_PD_CONTROLLER</t>
        </is>
      </c>
      <c r="H124" s="14" t="inlineStr"/>
      <c r="I124" s="14" t="inlineStr">
        <is>
          <t>TP</t>
        </is>
      </c>
      <c r="J124" s="14" t="inlineStr">
        <is>
          <t>Test and Measurement</t>
        </is>
      </c>
      <c r="K124" s="14" t="inlineStr">
        <is>
          <t>Test Points</t>
        </is>
      </c>
    </row>
    <row r="125">
      <c r="A125" s="14" t="inlineStr">
        <is>
          <t>TP3</t>
        </is>
      </c>
      <c r="B125" s="14" t="n">
        <v>82</v>
      </c>
      <c r="C125" s="14" t="inlineStr">
        <is>
          <t>TestPoint</t>
        </is>
      </c>
      <c r="D125" s="14" t="inlineStr">
        <is>
          <t>TestPoint:TestPoint_Pad_D1.0mm</t>
        </is>
      </c>
      <c r="E125" s="14" t="inlineStr">
        <is>
          <t>N/A</t>
        </is>
      </c>
      <c r="F125" s="14" t="inlineStr">
        <is>
          <t>N/A</t>
        </is>
      </c>
      <c r="G125" s="14" t="inlineStr">
        <is>
          <t>USB_PD_CONTROLLER</t>
        </is>
      </c>
      <c r="H125" s="14" t="inlineStr"/>
      <c r="I125" s="14" t="inlineStr">
        <is>
          <t>TP</t>
        </is>
      </c>
      <c r="J125" s="14" t="inlineStr">
        <is>
          <t>Test and Measurement</t>
        </is>
      </c>
      <c r="K125" s="14" t="inlineStr">
        <is>
          <t>Test Points</t>
        </is>
      </c>
    </row>
    <row r="126">
      <c r="A126" s="14" t="inlineStr">
        <is>
          <t>TP4</t>
        </is>
      </c>
      <c r="B126" s="14" t="n">
        <v>82</v>
      </c>
      <c r="C126" s="14" t="inlineStr">
        <is>
          <t>TestPoint</t>
        </is>
      </c>
      <c r="D126" s="14" t="inlineStr">
        <is>
          <t>TestPoint:TestPoint_Pad_D1.0mm</t>
        </is>
      </c>
      <c r="E126" s="14" t="inlineStr">
        <is>
          <t>N/A</t>
        </is>
      </c>
      <c r="F126" s="14" t="inlineStr">
        <is>
          <t>N/A</t>
        </is>
      </c>
      <c r="G126" s="14" t="inlineStr">
        <is>
          <t>USB_PD_CONTROLLER</t>
        </is>
      </c>
      <c r="H126" s="14" t="inlineStr"/>
      <c r="I126" s="14" t="inlineStr">
        <is>
          <t>TP</t>
        </is>
      </c>
      <c r="J126" s="14" t="inlineStr">
        <is>
          <t>Test and Measurement</t>
        </is>
      </c>
      <c r="K126" s="14" t="inlineStr">
        <is>
          <t>Test Points</t>
        </is>
      </c>
    </row>
    <row r="127">
      <c r="A127" s="14" t="inlineStr">
        <is>
          <t>TP5</t>
        </is>
      </c>
      <c r="B127" s="14" t="n">
        <v>82</v>
      </c>
      <c r="C127" s="14" t="inlineStr">
        <is>
          <t>TestPoint</t>
        </is>
      </c>
      <c r="D127" s="14" t="inlineStr">
        <is>
          <t>TestPoint:TestPoint_Pad_D1.0mm</t>
        </is>
      </c>
      <c r="E127" s="14" t="inlineStr">
        <is>
          <t>N/A</t>
        </is>
      </c>
      <c r="F127" s="14" t="inlineStr">
        <is>
          <t>N/A</t>
        </is>
      </c>
      <c r="G127" s="14" t="inlineStr">
        <is>
          <t>USB_PD_CONTROLLER</t>
        </is>
      </c>
      <c r="H127" s="14" t="inlineStr"/>
      <c r="I127" s="14" t="inlineStr">
        <is>
          <t>TP</t>
        </is>
      </c>
      <c r="J127" s="14" t="inlineStr">
        <is>
          <t>Test and Measurement</t>
        </is>
      </c>
      <c r="K127" s="14" t="inlineStr">
        <is>
          <t>Test Points</t>
        </is>
      </c>
    </row>
    <row r="128">
      <c r="A128" s="14" t="inlineStr">
        <is>
          <t>TP6</t>
        </is>
      </c>
      <c r="B128" s="14" t="n">
        <v>82</v>
      </c>
      <c r="C128" s="14" t="inlineStr">
        <is>
          <t>TestPoint</t>
        </is>
      </c>
      <c r="D128" s="14" t="inlineStr">
        <is>
          <t>TestPoint:TestPoint_Pad_D1.0mm</t>
        </is>
      </c>
      <c r="E128" s="14" t="inlineStr">
        <is>
          <t>N/A</t>
        </is>
      </c>
      <c r="F128" s="14" t="inlineStr">
        <is>
          <t>N/A</t>
        </is>
      </c>
      <c r="G128" s="14" t="inlineStr">
        <is>
          <t>MCU</t>
        </is>
      </c>
      <c r="H128" s="14" t="inlineStr"/>
      <c r="I128" s="14" t="inlineStr">
        <is>
          <t>TP</t>
        </is>
      </c>
      <c r="J128" s="14" t="inlineStr">
        <is>
          <t>Test and Measurement</t>
        </is>
      </c>
      <c r="K128" s="14" t="inlineStr">
        <is>
          <t>Test Points</t>
        </is>
      </c>
    </row>
    <row r="129">
      <c r="A129" s="14" t="inlineStr">
        <is>
          <t>TP7</t>
        </is>
      </c>
      <c r="B129" s="14" t="n">
        <v>82</v>
      </c>
      <c r="C129" s="14" t="inlineStr">
        <is>
          <t>TestPoint</t>
        </is>
      </c>
      <c r="D129" s="14" t="inlineStr">
        <is>
          <t>TestPoint:TestPoint_Pad_D1.0mm</t>
        </is>
      </c>
      <c r="E129" s="14" t="inlineStr">
        <is>
          <t>N/A</t>
        </is>
      </c>
      <c r="F129" s="14" t="inlineStr">
        <is>
          <t>N/A</t>
        </is>
      </c>
      <c r="G129" s="14" t="inlineStr">
        <is>
          <t>MCU</t>
        </is>
      </c>
      <c r="H129" s="14" t="inlineStr"/>
      <c r="I129" s="14" t="inlineStr">
        <is>
          <t>TP</t>
        </is>
      </c>
      <c r="J129" s="14" t="inlineStr">
        <is>
          <t>Test and Measurement</t>
        </is>
      </c>
      <c r="K129" s="14" t="inlineStr">
        <is>
          <t>Test Points</t>
        </is>
      </c>
    </row>
    <row r="130">
      <c r="A130" s="14" t="inlineStr">
        <is>
          <t>TP8</t>
        </is>
      </c>
      <c r="B130" s="14" t="n">
        <v>82</v>
      </c>
      <c r="C130" s="14" t="inlineStr">
        <is>
          <t>TestPoint</t>
        </is>
      </c>
      <c r="D130" s="14" t="inlineStr">
        <is>
          <t>TestPoint:TestPoint_Pad_D1.0mm</t>
        </is>
      </c>
      <c r="E130" s="14" t="inlineStr">
        <is>
          <t>N/A</t>
        </is>
      </c>
      <c r="F130" s="14" t="inlineStr">
        <is>
          <t>N/A</t>
        </is>
      </c>
      <c r="G130" s="14" t="inlineStr">
        <is>
          <t>MCU</t>
        </is>
      </c>
      <c r="H130" s="14" t="inlineStr"/>
      <c r="I130" s="14" t="inlineStr">
        <is>
          <t>TP</t>
        </is>
      </c>
      <c r="J130" s="14" t="inlineStr">
        <is>
          <t>Test and Measurement</t>
        </is>
      </c>
      <c r="K130" s="14" t="inlineStr">
        <is>
          <t>Test Points</t>
        </is>
      </c>
    </row>
    <row r="131">
      <c r="A131" s="14" t="inlineStr">
        <is>
          <t>TP9</t>
        </is>
      </c>
      <c r="B131" s="14" t="n">
        <v>82</v>
      </c>
      <c r="C131" s="14" t="inlineStr">
        <is>
          <t>TestPoint</t>
        </is>
      </c>
      <c r="D131" s="14" t="inlineStr">
        <is>
          <t>TestPoint:TestPoint_Pad_D1.0mm</t>
        </is>
      </c>
      <c r="E131" s="14" t="inlineStr">
        <is>
          <t>N/A</t>
        </is>
      </c>
      <c r="F131" s="14" t="inlineStr">
        <is>
          <t>N/A</t>
        </is>
      </c>
      <c r="G131" s="14" t="inlineStr">
        <is>
          <t>MCU</t>
        </is>
      </c>
      <c r="H131" s="14" t="inlineStr"/>
      <c r="I131" s="14" t="inlineStr">
        <is>
          <t>TP</t>
        </is>
      </c>
      <c r="J131" s="14" t="inlineStr">
        <is>
          <t>Test and Measurement</t>
        </is>
      </c>
      <c r="K131" s="14" t="inlineStr">
        <is>
          <t>Test Points</t>
        </is>
      </c>
    </row>
    <row r="132">
      <c r="A132" s="14" t="inlineStr">
        <is>
          <t>TP10</t>
        </is>
      </c>
      <c r="B132" s="14" t="n">
        <v>82</v>
      </c>
      <c r="C132" s="14" t="inlineStr">
        <is>
          <t>TestPoint</t>
        </is>
      </c>
      <c r="D132" s="14" t="inlineStr">
        <is>
          <t>TestPoint:TestPoint_Pad_D1.0mm</t>
        </is>
      </c>
      <c r="E132" s="14" t="inlineStr">
        <is>
          <t>N/A</t>
        </is>
      </c>
      <c r="F132" s="14" t="inlineStr">
        <is>
          <t>N/A</t>
        </is>
      </c>
      <c r="G132" s="14" t="inlineStr">
        <is>
          <t>MCU</t>
        </is>
      </c>
      <c r="H132" s="14" t="inlineStr"/>
      <c r="I132" s="14" t="inlineStr">
        <is>
          <t>TP</t>
        </is>
      </c>
      <c r="J132" s="14" t="inlineStr">
        <is>
          <t>Test and Measurement</t>
        </is>
      </c>
      <c r="K132" s="14" t="inlineStr">
        <is>
          <t>Test Points</t>
        </is>
      </c>
    </row>
    <row r="133">
      <c r="A133" s="14" t="inlineStr">
        <is>
          <t>TP11</t>
        </is>
      </c>
      <c r="B133" s="14" t="n">
        <v>82</v>
      </c>
      <c r="C133" s="14" t="inlineStr">
        <is>
          <t>TestPoint</t>
        </is>
      </c>
      <c r="D133" s="14" t="inlineStr">
        <is>
          <t>TestPoint:TestPoint_Pad_D1.0mm</t>
        </is>
      </c>
      <c r="E133" s="14" t="inlineStr">
        <is>
          <t>N/A</t>
        </is>
      </c>
      <c r="F133" s="14" t="inlineStr">
        <is>
          <t>N/A</t>
        </is>
      </c>
      <c r="G133" s="14" t="inlineStr">
        <is>
          <t>MCU</t>
        </is>
      </c>
      <c r="H133" s="14" t="inlineStr"/>
      <c r="I133" s="14" t="inlineStr">
        <is>
          <t>TP</t>
        </is>
      </c>
      <c r="J133" s="14" t="inlineStr">
        <is>
          <t>Test and Measurement</t>
        </is>
      </c>
      <c r="K133" s="14" t="inlineStr">
        <is>
          <t>Test Points</t>
        </is>
      </c>
    </row>
    <row r="134">
      <c r="A134" s="14" t="inlineStr">
        <is>
          <t>TP12</t>
        </is>
      </c>
      <c r="B134" s="14" t="n">
        <v>82</v>
      </c>
      <c r="C134" s="14" t="inlineStr">
        <is>
          <t>TestPoint</t>
        </is>
      </c>
      <c r="D134" s="14" t="inlineStr">
        <is>
          <t>TestPoint:TestPoint_Pad_D1.0mm</t>
        </is>
      </c>
      <c r="E134" s="14" t="inlineStr">
        <is>
          <t>N/A</t>
        </is>
      </c>
      <c r="F134" s="14" t="inlineStr">
        <is>
          <t>N/A</t>
        </is>
      </c>
      <c r="G134" s="14" t="inlineStr">
        <is>
          <t>MCU</t>
        </is>
      </c>
      <c r="H134" s="14" t="inlineStr"/>
      <c r="I134" s="14" t="inlineStr">
        <is>
          <t>TP</t>
        </is>
      </c>
      <c r="J134" s="14" t="inlineStr">
        <is>
          <t>Test and Measurement</t>
        </is>
      </c>
      <c r="K134" s="14" t="inlineStr">
        <is>
          <t>Test Points</t>
        </is>
      </c>
    </row>
    <row r="135">
      <c r="A135" s="14" t="inlineStr">
        <is>
          <t>TP13</t>
        </is>
      </c>
      <c r="B135" s="14" t="n">
        <v>82</v>
      </c>
      <c r="C135" s="14" t="inlineStr">
        <is>
          <t>TestPoint</t>
        </is>
      </c>
      <c r="D135" s="14" t="inlineStr">
        <is>
          <t>TestPoint:TestPoint_Pad_D1.0mm</t>
        </is>
      </c>
      <c r="E135" s="14" t="inlineStr">
        <is>
          <t>N/A</t>
        </is>
      </c>
      <c r="F135" s="14" t="inlineStr">
        <is>
          <t>N/A</t>
        </is>
      </c>
      <c r="G135" s="14" t="inlineStr">
        <is>
          <t>MCU</t>
        </is>
      </c>
      <c r="H135" s="14" t="inlineStr"/>
      <c r="I135" s="14" t="inlineStr">
        <is>
          <t>TP</t>
        </is>
      </c>
      <c r="J135" s="14" t="inlineStr">
        <is>
          <t>Test and Measurement</t>
        </is>
      </c>
      <c r="K135" s="14" t="inlineStr">
        <is>
          <t>Test Points</t>
        </is>
      </c>
    </row>
  </sheetData>
  <autoFilter ref="A1:K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0" customWidth="1" min="4" max="4"/>
    <col width="26" customWidth="1" min="5" max="5"/>
    <col width="34" customWidth="1" min="6" max="6"/>
  </cols>
  <sheetData>
    <row r="1" ht="30" customHeight="1">
      <c r="A1" s="4" t="inlineStr">
        <is>
          <t>BOM #</t>
        </is>
      </c>
      <c r="B1" s="4" t="inlineStr">
        <is>
          <t>Referanslar</t>
        </is>
      </c>
      <c r="C1" s="4" t="inlineStr">
        <is>
          <t>Value</t>
        </is>
      </c>
      <c r="D1" s="4" t="inlineStr">
        <is>
          <t>Grup</t>
        </is>
      </c>
      <c r="E1" s="4" t="inlineStr">
        <is>
          <t>Alan</t>
        </is>
      </c>
      <c r="F1" s="4" t="inlineStr">
        <is>
          <t>Değer</t>
        </is>
      </c>
    </row>
    <row r="2">
      <c r="A2" s="14" t="n">
        <v>1</v>
      </c>
      <c r="B2" s="14" t="inlineStr">
        <is>
          <t>U5</t>
        </is>
      </c>
      <c r="C2" s="14" t="inlineStr">
        <is>
          <t>AOZ1284PI</t>
        </is>
      </c>
      <c r="D2" s="14" t="inlineStr">
        <is>
          <t>U-SMPS</t>
        </is>
      </c>
      <c r="E2" s="14" t="inlineStr">
        <is>
          <t>SupplyVoltage</t>
        </is>
      </c>
      <c r="F2" s="15" t="inlineStr">
        <is>
          <t>TBD</t>
        </is>
      </c>
    </row>
    <row r="3">
      <c r="A3" s="14" t="n">
        <v>1</v>
      </c>
      <c r="B3" s="14" t="inlineStr">
        <is>
          <t>U5</t>
        </is>
      </c>
      <c r="C3" s="14" t="inlineStr">
        <is>
          <t>AOZ1284PI</t>
        </is>
      </c>
      <c r="D3" s="14" t="inlineStr">
        <is>
          <t>U-SMPS</t>
        </is>
      </c>
      <c r="E3" s="14" t="inlineStr">
        <is>
          <t>PinCount</t>
        </is>
      </c>
      <c r="F3" s="15" t="inlineStr">
        <is>
          <t>TBD</t>
        </is>
      </c>
    </row>
    <row r="4">
      <c r="A4" s="14" t="n">
        <v>1</v>
      </c>
      <c r="B4" s="14" t="inlineStr">
        <is>
          <t>U5</t>
        </is>
      </c>
      <c r="C4" s="14" t="inlineStr">
        <is>
          <t>AOZ1284PI</t>
        </is>
      </c>
      <c r="D4" s="14" t="inlineStr">
        <is>
          <t>U-SMPS</t>
        </is>
      </c>
      <c r="E4" s="14" t="inlineStr">
        <is>
          <t>ThermalPad</t>
        </is>
      </c>
      <c r="F4" s="15" t="inlineStr">
        <is>
          <t>TBD</t>
        </is>
      </c>
    </row>
    <row r="5">
      <c r="A5" s="14" t="n">
        <v>1</v>
      </c>
      <c r="B5" s="14" t="inlineStr">
        <is>
          <t>U5</t>
        </is>
      </c>
      <c r="C5" s="14" t="inlineStr">
        <is>
          <t>AOZ1284PI</t>
        </is>
      </c>
      <c r="D5" s="14" t="inlineStr">
        <is>
          <t>U-SMPS</t>
        </is>
      </c>
      <c r="E5" s="14" t="inlineStr">
        <is>
          <t>InterfaceType</t>
        </is>
      </c>
      <c r="F5" s="14" t="inlineStr">
        <is>
          <t>None</t>
        </is>
      </c>
    </row>
    <row r="6">
      <c r="A6" s="14" t="n">
        <v>1</v>
      </c>
      <c r="B6" s="14" t="inlineStr">
        <is>
          <t>U5</t>
        </is>
      </c>
      <c r="C6" s="14" t="inlineStr">
        <is>
          <t>AOZ1284PI</t>
        </is>
      </c>
      <c r="D6" s="14" t="inlineStr">
        <is>
          <t>U-SMPS</t>
        </is>
      </c>
      <c r="E6" s="14" t="inlineStr">
        <is>
          <t>Topology</t>
        </is>
      </c>
      <c r="F6" s="14" t="inlineStr">
        <is>
          <t>Buck</t>
        </is>
      </c>
    </row>
    <row r="7">
      <c r="A7" s="14" t="n">
        <v>1</v>
      </c>
      <c r="B7" s="14" t="inlineStr">
        <is>
          <t>U5</t>
        </is>
      </c>
      <c r="C7" s="14" t="inlineStr">
        <is>
          <t>AOZ1284PI</t>
        </is>
      </c>
      <c r="D7" s="14" t="inlineStr">
        <is>
          <t>U-SMPS</t>
        </is>
      </c>
      <c r="E7" s="14" t="inlineStr">
        <is>
          <t>InputVoltage</t>
        </is>
      </c>
      <c r="F7" s="15" t="inlineStr">
        <is>
          <t>TBD</t>
        </is>
      </c>
    </row>
    <row r="8">
      <c r="A8" s="14" t="n">
        <v>1</v>
      </c>
      <c r="B8" s="14" t="inlineStr">
        <is>
          <t>U5</t>
        </is>
      </c>
      <c r="C8" s="14" t="inlineStr">
        <is>
          <t>AOZ1284PI</t>
        </is>
      </c>
      <c r="D8" s="14" t="inlineStr">
        <is>
          <t>U-SMPS</t>
        </is>
      </c>
      <c r="E8" s="14" t="inlineStr">
        <is>
          <t>OutputVoltage</t>
        </is>
      </c>
      <c r="F8" s="15" t="inlineStr">
        <is>
          <t>TBD</t>
        </is>
      </c>
    </row>
    <row r="9">
      <c r="A9" s="14" t="n">
        <v>1</v>
      </c>
      <c r="B9" s="14" t="inlineStr">
        <is>
          <t>U5</t>
        </is>
      </c>
      <c r="C9" s="14" t="inlineStr">
        <is>
          <t>AOZ1284PI</t>
        </is>
      </c>
      <c r="D9" s="14" t="inlineStr">
        <is>
          <t>U-SMPS</t>
        </is>
      </c>
      <c r="E9" s="14" t="inlineStr">
        <is>
          <t>OutputCurrent</t>
        </is>
      </c>
      <c r="F9" s="15" t="inlineStr">
        <is>
          <t>TBD</t>
        </is>
      </c>
    </row>
    <row r="10">
      <c r="A10" s="14" t="n">
        <v>1</v>
      </c>
      <c r="B10" s="14" t="inlineStr">
        <is>
          <t>U5</t>
        </is>
      </c>
      <c r="C10" s="14" t="inlineStr">
        <is>
          <t>AOZ1284PI</t>
        </is>
      </c>
      <c r="D10" s="14" t="inlineStr">
        <is>
          <t>U-SMPS</t>
        </is>
      </c>
      <c r="E10" s="14" t="inlineStr">
        <is>
          <t>SwitchingFrequency</t>
        </is>
      </c>
      <c r="F10" s="15" t="inlineStr">
        <is>
          <t>TBD</t>
        </is>
      </c>
    </row>
    <row r="11">
      <c r="A11" s="14" t="n">
        <v>1</v>
      </c>
      <c r="B11" s="14" t="inlineStr">
        <is>
          <t>U5</t>
        </is>
      </c>
      <c r="C11" s="14" t="inlineStr">
        <is>
          <t>AOZ1284PI</t>
        </is>
      </c>
      <c r="D11" s="14" t="inlineStr">
        <is>
          <t>U-SMPS</t>
        </is>
      </c>
      <c r="E11" s="14" t="inlineStr">
        <is>
          <t>IntegratedSwitch</t>
        </is>
      </c>
      <c r="F11" s="15" t="inlineStr">
        <is>
          <t>TBD</t>
        </is>
      </c>
    </row>
    <row r="12">
      <c r="A12" s="14" t="n">
        <v>1</v>
      </c>
      <c r="B12" s="14" t="inlineStr">
        <is>
          <t>U5</t>
        </is>
      </c>
      <c r="C12" s="14" t="inlineStr">
        <is>
          <t>AOZ1284PI</t>
        </is>
      </c>
      <c r="D12" s="14" t="inlineStr">
        <is>
          <t>U-SMPS</t>
        </is>
      </c>
      <c r="E12" s="14" t="inlineStr">
        <is>
          <t>Synchronous</t>
        </is>
      </c>
      <c r="F12" s="15" t="inlineStr">
        <is>
          <t>TBD</t>
        </is>
      </c>
    </row>
    <row r="13">
      <c r="A13" s="14" t="n">
        <v>1</v>
      </c>
      <c r="B13" s="14" t="inlineStr">
        <is>
          <t>U5</t>
        </is>
      </c>
      <c r="C13" s="14" t="inlineStr">
        <is>
          <t>AOZ1284PI</t>
        </is>
      </c>
      <c r="D13" s="14" t="inlineStr">
        <is>
          <t>U-SMPS</t>
        </is>
      </c>
      <c r="E13" s="14" t="inlineStr">
        <is>
          <t>ControlMode</t>
        </is>
      </c>
      <c r="F13" s="15" t="inlineStr">
        <is>
          <t>TBD</t>
        </is>
      </c>
    </row>
    <row r="14">
      <c r="A14" s="14" t="n">
        <v>2</v>
      </c>
      <c r="B14" s="14" t="inlineStr">
        <is>
          <t>U1</t>
        </is>
      </c>
      <c r="C14" s="14" t="inlineStr">
        <is>
          <t>AP33772SDKZ-13-FA02</t>
        </is>
      </c>
      <c r="D14" s="14" t="inlineStr">
        <is>
          <t>U-PD</t>
        </is>
      </c>
      <c r="E14" s="14" t="inlineStr">
        <is>
          <t>SupplyVoltage</t>
        </is>
      </c>
      <c r="F14" s="15" t="inlineStr">
        <is>
          <t>TBD</t>
        </is>
      </c>
    </row>
    <row r="15">
      <c r="A15" s="14" t="n">
        <v>2</v>
      </c>
      <c r="B15" s="14" t="inlineStr">
        <is>
          <t>U1</t>
        </is>
      </c>
      <c r="C15" s="14" t="inlineStr">
        <is>
          <t>AP33772SDKZ-13-FA02</t>
        </is>
      </c>
      <c r="D15" s="14" t="inlineStr">
        <is>
          <t>U-PD</t>
        </is>
      </c>
      <c r="E15" s="14" t="inlineStr">
        <is>
          <t>PinCount</t>
        </is>
      </c>
      <c r="F15" s="15" t="inlineStr">
        <is>
          <t>TBD</t>
        </is>
      </c>
    </row>
    <row r="16">
      <c r="A16" s="14" t="n">
        <v>2</v>
      </c>
      <c r="B16" s="14" t="inlineStr">
        <is>
          <t>U1</t>
        </is>
      </c>
      <c r="C16" s="14" t="inlineStr">
        <is>
          <t>AP33772SDKZ-13-FA02</t>
        </is>
      </c>
      <c r="D16" s="14" t="inlineStr">
        <is>
          <t>U-PD</t>
        </is>
      </c>
      <c r="E16" s="14" t="inlineStr">
        <is>
          <t>ThermalPad</t>
        </is>
      </c>
      <c r="F16" s="15" t="inlineStr">
        <is>
          <t>TBD</t>
        </is>
      </c>
    </row>
    <row r="17">
      <c r="A17" s="14" t="n">
        <v>2</v>
      </c>
      <c r="B17" s="14" t="inlineStr">
        <is>
          <t>U1</t>
        </is>
      </c>
      <c r="C17" s="14" t="inlineStr">
        <is>
          <t>AP33772SDKZ-13-FA02</t>
        </is>
      </c>
      <c r="D17" s="14" t="inlineStr">
        <is>
          <t>U-PD</t>
        </is>
      </c>
      <c r="E17" s="14" t="inlineStr">
        <is>
          <t>InterfaceType</t>
        </is>
      </c>
      <c r="F17" s="14" t="inlineStr">
        <is>
          <t>I2C</t>
        </is>
      </c>
    </row>
    <row r="18">
      <c r="A18" s="14" t="n">
        <v>2</v>
      </c>
      <c r="B18" s="14" t="inlineStr">
        <is>
          <t>U1</t>
        </is>
      </c>
      <c r="C18" s="14" t="inlineStr">
        <is>
          <t>AP33772SDKZ-13-FA02</t>
        </is>
      </c>
      <c r="D18" s="14" t="inlineStr">
        <is>
          <t>U-PD</t>
        </is>
      </c>
      <c r="E18" s="14" t="inlineStr">
        <is>
          <t>Protocol</t>
        </is>
      </c>
      <c r="F18" s="14" t="inlineStr">
        <is>
          <t>USB PD 3.1</t>
        </is>
      </c>
    </row>
    <row r="19">
      <c r="A19" s="14" t="n">
        <v>2</v>
      </c>
      <c r="B19" s="14" t="inlineStr">
        <is>
          <t>U1</t>
        </is>
      </c>
      <c r="C19" s="14" t="inlineStr">
        <is>
          <t>AP33772SDKZ-13-FA02</t>
        </is>
      </c>
      <c r="D19" s="14" t="inlineStr">
        <is>
          <t>U-PD</t>
        </is>
      </c>
      <c r="E19" s="14" t="inlineStr">
        <is>
          <t>PortRole</t>
        </is>
      </c>
      <c r="F19" s="14" t="inlineStr">
        <is>
          <t>Sink</t>
        </is>
      </c>
    </row>
    <row r="20">
      <c r="A20" s="14" t="n">
        <v>2</v>
      </c>
      <c r="B20" s="14" t="inlineStr">
        <is>
          <t>U1</t>
        </is>
      </c>
      <c r="C20" s="14" t="inlineStr">
        <is>
          <t>AP33772SDKZ-13-FA02</t>
        </is>
      </c>
      <c r="D20" s="14" t="inlineStr">
        <is>
          <t>U-PD</t>
        </is>
      </c>
      <c r="E20" s="14" t="inlineStr">
        <is>
          <t>HostInterface</t>
        </is>
      </c>
      <c r="F20" s="14" t="inlineStr">
        <is>
          <t>I2C</t>
        </is>
      </c>
    </row>
    <row r="21">
      <c r="A21" s="14" t="n">
        <v>2</v>
      </c>
      <c r="B21" s="14" t="inlineStr">
        <is>
          <t>U1</t>
        </is>
      </c>
      <c r="C21" s="14" t="inlineStr">
        <is>
          <t>AP33772SDKZ-13-FA02</t>
        </is>
      </c>
      <c r="D21" s="14" t="inlineStr">
        <is>
          <t>U-PD</t>
        </is>
      </c>
      <c r="E21" s="14" t="inlineStr">
        <is>
          <t>IntegratedFET</t>
        </is>
      </c>
      <c r="F21" s="14" t="inlineStr">
        <is>
          <t>No</t>
        </is>
      </c>
    </row>
    <row r="22">
      <c r="A22" s="14" t="n">
        <v>2</v>
      </c>
      <c r="B22" s="14" t="inlineStr">
        <is>
          <t>U1</t>
        </is>
      </c>
      <c r="C22" s="14" t="inlineStr">
        <is>
          <t>AP33772SDKZ-13-FA02</t>
        </is>
      </c>
      <c r="D22" s="14" t="inlineStr">
        <is>
          <t>U-PD</t>
        </is>
      </c>
      <c r="E22" s="14" t="inlineStr">
        <is>
          <t>MaxVoltage</t>
        </is>
      </c>
      <c r="F22" s="15" t="inlineStr">
        <is>
          <t>TBD</t>
        </is>
      </c>
    </row>
    <row r="23">
      <c r="A23" s="14" t="n">
        <v>2</v>
      </c>
      <c r="B23" s="14" t="inlineStr">
        <is>
          <t>U1</t>
        </is>
      </c>
      <c r="C23" s="14" t="inlineStr">
        <is>
          <t>AP33772SDKZ-13-FA02</t>
        </is>
      </c>
      <c r="D23" s="14" t="inlineStr">
        <is>
          <t>U-PD</t>
        </is>
      </c>
      <c r="E23" s="14" t="inlineStr">
        <is>
          <t>MaxCurrent</t>
        </is>
      </c>
      <c r="F23" s="15" t="inlineStr">
        <is>
          <t>TBD</t>
        </is>
      </c>
    </row>
    <row r="24">
      <c r="A24" s="14" t="n">
        <v>3</v>
      </c>
      <c r="B24" s="14" t="inlineStr">
        <is>
          <t>U12</t>
        </is>
      </c>
      <c r="C24" s="14" t="inlineStr">
        <is>
          <t>AP74502Q</t>
        </is>
      </c>
      <c r="D24" s="14" t="inlineStr">
        <is>
          <t>U-SW</t>
        </is>
      </c>
      <c r="E24" s="14" t="inlineStr">
        <is>
          <t>SupplyVoltage</t>
        </is>
      </c>
      <c r="F24" s="15" t="inlineStr">
        <is>
          <t>TBD</t>
        </is>
      </c>
    </row>
    <row r="25">
      <c r="A25" s="14" t="n">
        <v>3</v>
      </c>
      <c r="B25" s="14" t="inlineStr">
        <is>
          <t>U12</t>
        </is>
      </c>
      <c r="C25" s="14" t="inlineStr">
        <is>
          <t>AP74502Q</t>
        </is>
      </c>
      <c r="D25" s="14" t="inlineStr">
        <is>
          <t>U-SW</t>
        </is>
      </c>
      <c r="E25" s="14" t="inlineStr">
        <is>
          <t>PinCount</t>
        </is>
      </c>
      <c r="F25" s="15" t="inlineStr">
        <is>
          <t>TBD</t>
        </is>
      </c>
    </row>
    <row r="26">
      <c r="A26" s="14" t="n">
        <v>3</v>
      </c>
      <c r="B26" s="14" t="inlineStr">
        <is>
          <t>U12</t>
        </is>
      </c>
      <c r="C26" s="14" t="inlineStr">
        <is>
          <t>AP74502Q</t>
        </is>
      </c>
      <c r="D26" s="14" t="inlineStr">
        <is>
          <t>U-SW</t>
        </is>
      </c>
      <c r="E26" s="14" t="inlineStr">
        <is>
          <t>ThermalPad</t>
        </is>
      </c>
      <c r="F26" s="15" t="inlineStr">
        <is>
          <t>TBD</t>
        </is>
      </c>
    </row>
    <row r="27">
      <c r="A27" s="14" t="n">
        <v>3</v>
      </c>
      <c r="B27" s="14" t="inlineStr">
        <is>
          <t>U12</t>
        </is>
      </c>
      <c r="C27" s="14" t="inlineStr">
        <is>
          <t>AP74502Q</t>
        </is>
      </c>
      <c r="D27" s="14" t="inlineStr">
        <is>
          <t>U-SW</t>
        </is>
      </c>
      <c r="E27" s="14" t="inlineStr">
        <is>
          <t>InterfaceType</t>
        </is>
      </c>
      <c r="F27" s="14" t="inlineStr">
        <is>
          <t>None</t>
        </is>
      </c>
    </row>
    <row r="28">
      <c r="A28" s="14" t="n">
        <v>3</v>
      </c>
      <c r="B28" s="14" t="inlineStr">
        <is>
          <t>U12</t>
        </is>
      </c>
      <c r="C28" s="14" t="inlineStr">
        <is>
          <t>AP74502Q</t>
        </is>
      </c>
      <c r="D28" s="14" t="inlineStr">
        <is>
          <t>U-SW</t>
        </is>
      </c>
      <c r="E28" s="14" t="inlineStr">
        <is>
          <t>InputVoltage</t>
        </is>
      </c>
      <c r="F28" s="15" t="inlineStr">
        <is>
          <t>TBD</t>
        </is>
      </c>
    </row>
    <row r="29">
      <c r="A29" s="14" t="n">
        <v>3</v>
      </c>
      <c r="B29" s="14" t="inlineStr">
        <is>
          <t>U12</t>
        </is>
      </c>
      <c r="C29" s="14" t="inlineStr">
        <is>
          <t>AP74502Q</t>
        </is>
      </c>
      <c r="D29" s="14" t="inlineStr">
        <is>
          <t>U-SW</t>
        </is>
      </c>
      <c r="E29" s="14" t="inlineStr">
        <is>
          <t>ContinuousCurrent</t>
        </is>
      </c>
      <c r="F29" s="15" t="inlineStr">
        <is>
          <t>TBD</t>
        </is>
      </c>
    </row>
    <row r="30">
      <c r="A30" s="14" t="n">
        <v>3</v>
      </c>
      <c r="B30" s="14" t="inlineStr">
        <is>
          <t>U12</t>
        </is>
      </c>
      <c r="C30" s="14" t="inlineStr">
        <is>
          <t>AP74502Q</t>
        </is>
      </c>
      <c r="D30" s="14" t="inlineStr">
        <is>
          <t>U-SW</t>
        </is>
      </c>
      <c r="E30" s="14" t="inlineStr">
        <is>
          <t>RdsOn</t>
        </is>
      </c>
      <c r="F30" s="15" t="inlineStr">
        <is>
          <t>TBD</t>
        </is>
      </c>
    </row>
    <row r="31">
      <c r="A31" s="14" t="n">
        <v>3</v>
      </c>
      <c r="B31" s="14" t="inlineStr">
        <is>
          <t>U12</t>
        </is>
      </c>
      <c r="C31" s="14" t="inlineStr">
        <is>
          <t>AP74502Q</t>
        </is>
      </c>
      <c r="D31" s="14" t="inlineStr">
        <is>
          <t>U-SW</t>
        </is>
      </c>
      <c r="E31" s="14" t="inlineStr">
        <is>
          <t>ProtectionFeatures</t>
        </is>
      </c>
      <c r="F31" s="15" t="inlineStr">
        <is>
          <t>TBD</t>
        </is>
      </c>
    </row>
    <row r="32">
      <c r="A32" s="14" t="n">
        <v>3</v>
      </c>
      <c r="B32" s="14" t="inlineStr">
        <is>
          <t>U12</t>
        </is>
      </c>
      <c r="C32" s="14" t="inlineStr">
        <is>
          <t>AP74502Q</t>
        </is>
      </c>
      <c r="D32" s="14" t="inlineStr">
        <is>
          <t>U-SW</t>
        </is>
      </c>
      <c r="E32" s="14" t="inlineStr">
        <is>
          <t>SlewRateControl</t>
        </is>
      </c>
      <c r="F32" s="15" t="inlineStr">
        <is>
          <t>TBD</t>
        </is>
      </c>
    </row>
    <row r="33">
      <c r="A33" s="14" t="n">
        <v>3</v>
      </c>
      <c r="B33" s="14" t="inlineStr">
        <is>
          <t>U12</t>
        </is>
      </c>
      <c r="C33" s="14" t="inlineStr">
        <is>
          <t>AP74502Q</t>
        </is>
      </c>
      <c r="D33" s="14" t="inlineStr">
        <is>
          <t>U-SW</t>
        </is>
      </c>
      <c r="E33" s="14" t="inlineStr">
        <is>
          <t>ChannelCount</t>
        </is>
      </c>
      <c r="F33" s="14" t="inlineStr">
        <is>
          <t>1</t>
        </is>
      </c>
    </row>
    <row r="34">
      <c r="A34" s="14" t="n">
        <v>3</v>
      </c>
      <c r="B34" s="14" t="inlineStr">
        <is>
          <t>U12</t>
        </is>
      </c>
      <c r="C34" s="14" t="inlineStr">
        <is>
          <t>AP74502Q</t>
        </is>
      </c>
      <c r="D34" s="14" t="inlineStr">
        <is>
          <t>U-SW</t>
        </is>
      </c>
      <c r="E34" s="14" t="inlineStr">
        <is>
          <t>ControlLogic</t>
        </is>
      </c>
      <c r="F34" s="15" t="inlineStr">
        <is>
          <t>TBD</t>
        </is>
      </c>
    </row>
    <row r="35">
      <c r="A35" s="14" t="n">
        <v>5</v>
      </c>
      <c r="B35" s="14" t="inlineStr">
        <is>
          <t>U2</t>
        </is>
      </c>
      <c r="C35" s="14" t="inlineStr">
        <is>
          <t>ESP32-C6-WROOM-1</t>
        </is>
      </c>
      <c r="D35" s="14" t="inlineStr">
        <is>
          <t>U-MCU</t>
        </is>
      </c>
      <c r="E35" s="14" t="inlineStr">
        <is>
          <t>SupplyVoltage</t>
        </is>
      </c>
      <c r="F35" s="15" t="inlineStr">
        <is>
          <t>TBD</t>
        </is>
      </c>
    </row>
    <row r="36">
      <c r="A36" s="14" t="n">
        <v>5</v>
      </c>
      <c r="B36" s="14" t="inlineStr">
        <is>
          <t>U2</t>
        </is>
      </c>
      <c r="C36" s="14" t="inlineStr">
        <is>
          <t>ESP32-C6-WROOM-1</t>
        </is>
      </c>
      <c r="D36" s="14" t="inlineStr">
        <is>
          <t>U-MCU</t>
        </is>
      </c>
      <c r="E36" s="14" t="inlineStr">
        <is>
          <t>PinCount</t>
        </is>
      </c>
      <c r="F36" s="15" t="inlineStr">
        <is>
          <t>TBD</t>
        </is>
      </c>
    </row>
    <row r="37">
      <c r="A37" s="14" t="n">
        <v>5</v>
      </c>
      <c r="B37" s="14" t="inlineStr">
        <is>
          <t>U2</t>
        </is>
      </c>
      <c r="C37" s="14" t="inlineStr">
        <is>
          <t>ESP32-C6-WROOM-1</t>
        </is>
      </c>
      <c r="D37" s="14" t="inlineStr">
        <is>
          <t>U-MCU</t>
        </is>
      </c>
      <c r="E37" s="14" t="inlineStr">
        <is>
          <t>ThermalPad</t>
        </is>
      </c>
      <c r="F37" s="15" t="inlineStr">
        <is>
          <t>TBD</t>
        </is>
      </c>
    </row>
    <row r="38">
      <c r="A38" s="14" t="n">
        <v>5</v>
      </c>
      <c r="B38" s="14" t="inlineStr">
        <is>
          <t>U2</t>
        </is>
      </c>
      <c r="C38" s="14" t="inlineStr">
        <is>
          <t>ESP32-C6-WROOM-1</t>
        </is>
      </c>
      <c r="D38" s="14" t="inlineStr">
        <is>
          <t>U-MCU</t>
        </is>
      </c>
      <c r="E38" s="14" t="inlineStr">
        <is>
          <t>InterfaceType</t>
        </is>
      </c>
      <c r="F38" s="15" t="inlineStr">
        <is>
          <t>TBD</t>
        </is>
      </c>
    </row>
    <row r="39">
      <c r="A39" s="14" t="n">
        <v>5</v>
      </c>
      <c r="B39" s="14" t="inlineStr">
        <is>
          <t>U2</t>
        </is>
      </c>
      <c r="C39" s="14" t="inlineStr">
        <is>
          <t>ESP32-C6-WROOM-1</t>
        </is>
      </c>
      <c r="D39" s="14" t="inlineStr">
        <is>
          <t>U-MCU</t>
        </is>
      </c>
      <c r="E39" s="14" t="inlineStr">
        <is>
          <t>CoreArchitecture</t>
        </is>
      </c>
      <c r="F39" s="14" t="inlineStr">
        <is>
          <t>RISC-V 32-bit</t>
        </is>
      </c>
    </row>
    <row r="40">
      <c r="A40" s="14" t="n">
        <v>5</v>
      </c>
      <c r="B40" s="14" t="inlineStr">
        <is>
          <t>U2</t>
        </is>
      </c>
      <c r="C40" s="14" t="inlineStr">
        <is>
          <t>ESP32-C6-WROOM-1</t>
        </is>
      </c>
      <c r="D40" s="14" t="inlineStr">
        <is>
          <t>U-MCU</t>
        </is>
      </c>
      <c r="E40" s="14" t="inlineStr">
        <is>
          <t>ClockFrequency</t>
        </is>
      </c>
      <c r="F40" s="15" t="inlineStr">
        <is>
          <t>TBD</t>
        </is>
      </c>
    </row>
    <row r="41">
      <c r="A41" s="14" t="n">
        <v>5</v>
      </c>
      <c r="B41" s="14" t="inlineStr">
        <is>
          <t>U2</t>
        </is>
      </c>
      <c r="C41" s="14" t="inlineStr">
        <is>
          <t>ESP32-C6-WROOM-1</t>
        </is>
      </c>
      <c r="D41" s="14" t="inlineStr">
        <is>
          <t>U-MCU</t>
        </is>
      </c>
      <c r="E41" s="14" t="inlineStr">
        <is>
          <t>FlashSize</t>
        </is>
      </c>
      <c r="F41" s="15" t="inlineStr">
        <is>
          <t>TBD</t>
        </is>
      </c>
    </row>
    <row r="42">
      <c r="A42" s="14" t="n">
        <v>5</v>
      </c>
      <c r="B42" s="14" t="inlineStr">
        <is>
          <t>U2</t>
        </is>
      </c>
      <c r="C42" s="14" t="inlineStr">
        <is>
          <t>ESP32-C6-WROOM-1</t>
        </is>
      </c>
      <c r="D42" s="14" t="inlineStr">
        <is>
          <t>U-MCU</t>
        </is>
      </c>
      <c r="E42" s="14" t="inlineStr">
        <is>
          <t>RAMSize</t>
        </is>
      </c>
      <c r="F42" s="15" t="inlineStr">
        <is>
          <t>TBD</t>
        </is>
      </c>
    </row>
    <row r="43">
      <c r="A43" s="14" t="n">
        <v>5</v>
      </c>
      <c r="B43" s="14" t="inlineStr">
        <is>
          <t>U2</t>
        </is>
      </c>
      <c r="C43" s="14" t="inlineStr">
        <is>
          <t>ESP32-C6-WROOM-1</t>
        </is>
      </c>
      <c r="D43" s="14" t="inlineStr">
        <is>
          <t>U-MCU</t>
        </is>
      </c>
      <c r="E43" s="14" t="inlineStr">
        <is>
          <t>IOCount</t>
        </is>
      </c>
      <c r="F43" s="15" t="inlineStr">
        <is>
          <t>TBD</t>
        </is>
      </c>
    </row>
    <row r="44">
      <c r="A44" s="14" t="n">
        <v>5</v>
      </c>
      <c r="B44" s="14" t="inlineStr">
        <is>
          <t>U2</t>
        </is>
      </c>
      <c r="C44" s="14" t="inlineStr">
        <is>
          <t>ESP32-C6-WROOM-1</t>
        </is>
      </c>
      <c r="D44" s="14" t="inlineStr">
        <is>
          <t>U-MCU</t>
        </is>
      </c>
      <c r="E44" s="14" t="inlineStr">
        <is>
          <t>PeripheralInterfaces</t>
        </is>
      </c>
      <c r="F44" s="15" t="inlineStr">
        <is>
          <t>TBD</t>
        </is>
      </c>
    </row>
    <row r="45">
      <c r="A45" s="14" t="n">
        <v>5</v>
      </c>
      <c r="B45" s="14" t="inlineStr">
        <is>
          <t>U2</t>
        </is>
      </c>
      <c r="C45" s="14" t="inlineStr">
        <is>
          <t>ESP32-C6-WROOM-1</t>
        </is>
      </c>
      <c r="D45" s="14" t="inlineStr">
        <is>
          <t>U-MCU</t>
        </is>
      </c>
      <c r="E45" s="14" t="inlineStr">
        <is>
          <t>WirelessProtocol</t>
        </is>
      </c>
      <c r="F45" s="15" t="inlineStr">
        <is>
          <t>TBD</t>
        </is>
      </c>
    </row>
    <row r="46">
      <c r="A46" s="14" t="n">
        <v>5</v>
      </c>
      <c r="B46" s="14" t="inlineStr">
        <is>
          <t>U2</t>
        </is>
      </c>
      <c r="C46" s="14" t="inlineStr">
        <is>
          <t>ESP32-C6-WROOM-1</t>
        </is>
      </c>
      <c r="D46" s="14" t="inlineStr">
        <is>
          <t>U-MCU</t>
        </is>
      </c>
      <c r="E46" s="14" t="inlineStr">
        <is>
          <t>AntennaType</t>
        </is>
      </c>
      <c r="F46" s="14" t="inlineStr">
        <is>
          <t>PCB Trace</t>
        </is>
      </c>
    </row>
    <row r="47">
      <c r="A47" s="14" t="n">
        <v>5</v>
      </c>
      <c r="B47" s="14" t="inlineStr">
        <is>
          <t>U2</t>
        </is>
      </c>
      <c r="C47" s="14" t="inlineStr">
        <is>
          <t>ESP32-C6-WROOM-1</t>
        </is>
      </c>
      <c r="D47" s="14" t="inlineStr">
        <is>
          <t>U-MCU</t>
        </is>
      </c>
      <c r="E47" s="14" t="inlineStr">
        <is>
          <t>Certification</t>
        </is>
      </c>
      <c r="F47" s="15" t="inlineStr">
        <is>
          <t>TBD</t>
        </is>
      </c>
    </row>
    <row r="48">
      <c r="A48" s="14" t="n">
        <v>5</v>
      </c>
      <c r="B48" s="14" t="inlineStr">
        <is>
          <t>U2</t>
        </is>
      </c>
      <c r="C48" s="14" t="inlineStr">
        <is>
          <t>ESP32-C6-WROOM-1</t>
        </is>
      </c>
      <c r="D48" s="14" t="inlineStr">
        <is>
          <t>U-MCU</t>
        </is>
      </c>
      <c r="E48" s="14" t="inlineStr">
        <is>
          <t>ModuleDimensions</t>
        </is>
      </c>
      <c r="F48" s="14" t="inlineStr">
        <is>
          <t>18x25.5x3.1mm</t>
        </is>
      </c>
    </row>
    <row r="49">
      <c r="A49" s="14" t="n">
        <v>6</v>
      </c>
      <c r="B49" s="14" t="inlineStr">
        <is>
          <t>U3</t>
        </is>
      </c>
      <c r="C49" s="14" t="inlineStr">
        <is>
          <t>INA228</t>
        </is>
      </c>
      <c r="D49" s="14" t="inlineStr">
        <is>
          <t>U-ANA</t>
        </is>
      </c>
      <c r="E49" s="14" t="inlineStr">
        <is>
          <t>SupplyVoltage</t>
        </is>
      </c>
      <c r="F49" s="15" t="inlineStr">
        <is>
          <t>TBD</t>
        </is>
      </c>
    </row>
    <row r="50">
      <c r="A50" s="14" t="n">
        <v>6</v>
      </c>
      <c r="B50" s="14" t="inlineStr">
        <is>
          <t>U3</t>
        </is>
      </c>
      <c r="C50" s="14" t="inlineStr">
        <is>
          <t>INA228</t>
        </is>
      </c>
      <c r="D50" s="14" t="inlineStr">
        <is>
          <t>U-ANA</t>
        </is>
      </c>
      <c r="E50" s="14" t="inlineStr">
        <is>
          <t>PinCount</t>
        </is>
      </c>
      <c r="F50" s="15" t="inlineStr">
        <is>
          <t>TBD</t>
        </is>
      </c>
    </row>
    <row r="51">
      <c r="A51" s="14" t="n">
        <v>6</v>
      </c>
      <c r="B51" s="14" t="inlineStr">
        <is>
          <t>U3</t>
        </is>
      </c>
      <c r="C51" s="14" t="inlineStr">
        <is>
          <t>INA228</t>
        </is>
      </c>
      <c r="D51" s="14" t="inlineStr">
        <is>
          <t>U-ANA</t>
        </is>
      </c>
      <c r="E51" s="14" t="inlineStr">
        <is>
          <t>ThermalPad</t>
        </is>
      </c>
      <c r="F51" s="15" t="inlineStr">
        <is>
          <t>TBD</t>
        </is>
      </c>
    </row>
    <row r="52">
      <c r="A52" s="14" t="n">
        <v>6</v>
      </c>
      <c r="B52" s="14" t="inlineStr">
        <is>
          <t>U3</t>
        </is>
      </c>
      <c r="C52" s="14" t="inlineStr">
        <is>
          <t>INA228</t>
        </is>
      </c>
      <c r="D52" s="14" t="inlineStr">
        <is>
          <t>U-ANA</t>
        </is>
      </c>
      <c r="E52" s="14" t="inlineStr">
        <is>
          <t>InterfaceType</t>
        </is>
      </c>
      <c r="F52" s="14" t="inlineStr">
        <is>
          <t>I2C</t>
        </is>
      </c>
    </row>
    <row r="53">
      <c r="A53" s="14" t="n">
        <v>6</v>
      </c>
      <c r="B53" s="14" t="inlineStr">
        <is>
          <t>U3</t>
        </is>
      </c>
      <c r="C53" s="14" t="inlineStr">
        <is>
          <t>INA228</t>
        </is>
      </c>
      <c r="D53" s="14" t="inlineStr">
        <is>
          <t>U-ANA</t>
        </is>
      </c>
      <c r="E53" s="14" t="inlineStr">
        <is>
          <t>ChannelCount</t>
        </is>
      </c>
      <c r="F53" s="14" t="inlineStr">
        <is>
          <t>1</t>
        </is>
      </c>
    </row>
    <row r="54">
      <c r="A54" s="14" t="n">
        <v>6</v>
      </c>
      <c r="B54" s="14" t="inlineStr">
        <is>
          <t>U3</t>
        </is>
      </c>
      <c r="C54" s="14" t="inlineStr">
        <is>
          <t>INA228</t>
        </is>
      </c>
      <c r="D54" s="14" t="inlineStr">
        <is>
          <t>U-ANA</t>
        </is>
      </c>
      <c r="E54" s="14" t="inlineStr">
        <is>
          <t>GainBandwidth</t>
        </is>
      </c>
      <c r="F54" s="15" t="inlineStr">
        <is>
          <t>TBD</t>
        </is>
      </c>
    </row>
    <row r="55">
      <c r="A55" s="14" t="n">
        <v>6</v>
      </c>
      <c r="B55" s="14" t="inlineStr">
        <is>
          <t>U3</t>
        </is>
      </c>
      <c r="C55" s="14" t="inlineStr">
        <is>
          <t>INA228</t>
        </is>
      </c>
      <c r="D55" s="14" t="inlineStr">
        <is>
          <t>U-ANA</t>
        </is>
      </c>
      <c r="E55" s="14" t="inlineStr">
        <is>
          <t>InputOffsetVoltage</t>
        </is>
      </c>
      <c r="F55" s="15" t="inlineStr">
        <is>
          <t>TBD</t>
        </is>
      </c>
    </row>
    <row r="56">
      <c r="A56" s="14" t="n">
        <v>6</v>
      </c>
      <c r="B56" s="14" t="inlineStr">
        <is>
          <t>U3</t>
        </is>
      </c>
      <c r="C56" s="14" t="inlineStr">
        <is>
          <t>INA228</t>
        </is>
      </c>
      <c r="D56" s="14" t="inlineStr">
        <is>
          <t>U-ANA</t>
        </is>
      </c>
      <c r="E56" s="14" t="inlineStr">
        <is>
          <t>SupplyCurrent</t>
        </is>
      </c>
      <c r="F56" s="15" t="inlineStr">
        <is>
          <t>TBD</t>
        </is>
      </c>
    </row>
    <row r="57">
      <c r="A57" s="14" t="n">
        <v>6</v>
      </c>
      <c r="B57" s="14" t="inlineStr">
        <is>
          <t>U3</t>
        </is>
      </c>
      <c r="C57" s="14" t="inlineStr">
        <is>
          <t>INA228</t>
        </is>
      </c>
      <c r="D57" s="14" t="inlineStr">
        <is>
          <t>U-ANA</t>
        </is>
      </c>
      <c r="E57" s="14" t="inlineStr">
        <is>
          <t>RailToRail</t>
        </is>
      </c>
      <c r="F57" s="15" t="inlineStr">
        <is>
          <t>TBD</t>
        </is>
      </c>
    </row>
    <row r="58">
      <c r="A58" s="14" t="n">
        <v>6</v>
      </c>
      <c r="B58" s="14" t="inlineStr">
        <is>
          <t>U3</t>
        </is>
      </c>
      <c r="C58" s="14" t="inlineStr">
        <is>
          <t>INA228</t>
        </is>
      </c>
      <c r="D58" s="14" t="inlineStr">
        <is>
          <t>U-ANA</t>
        </is>
      </c>
      <c r="E58" s="14" t="inlineStr">
        <is>
          <t>Resolution</t>
        </is>
      </c>
      <c r="F58" s="15" t="inlineStr">
        <is>
          <t>TBD</t>
        </is>
      </c>
    </row>
    <row r="59">
      <c r="A59" s="14" t="n">
        <v>6</v>
      </c>
      <c r="B59" s="14" t="inlineStr">
        <is>
          <t>U3</t>
        </is>
      </c>
      <c r="C59" s="14" t="inlineStr">
        <is>
          <t>INA228</t>
        </is>
      </c>
      <c r="D59" s="14" t="inlineStr">
        <is>
          <t>U-ANA</t>
        </is>
      </c>
      <c r="E59" s="14" t="inlineStr">
        <is>
          <t>SampleRate</t>
        </is>
      </c>
      <c r="F59" s="15" t="inlineStr">
        <is>
          <t>TBD</t>
        </is>
      </c>
    </row>
    <row r="60">
      <c r="A60" s="14" t="n">
        <v>6</v>
      </c>
      <c r="B60" s="14" t="inlineStr">
        <is>
          <t>U3</t>
        </is>
      </c>
      <c r="C60" s="14" t="inlineStr">
        <is>
          <t>INA228</t>
        </is>
      </c>
      <c r="D60" s="14" t="inlineStr">
        <is>
          <t>U-ANA</t>
        </is>
      </c>
      <c r="E60" s="14" t="inlineStr">
        <is>
          <t>ReferenceType</t>
        </is>
      </c>
      <c r="F60" s="15" t="inlineStr">
        <is>
          <t>TBD</t>
        </is>
      </c>
    </row>
    <row r="61">
      <c r="A61" s="14" t="n">
        <v>7</v>
      </c>
      <c r="B61" s="14" t="inlineStr">
        <is>
          <t>U4</t>
        </is>
      </c>
      <c r="C61" s="14" t="inlineStr">
        <is>
          <t>RV-3028-C7</t>
        </is>
      </c>
      <c r="D61" s="14" t="inlineStr">
        <is>
          <t>U-DIG</t>
        </is>
      </c>
      <c r="E61" s="14" t="inlineStr">
        <is>
          <t>SupplyVoltage</t>
        </is>
      </c>
      <c r="F61" s="15" t="inlineStr">
        <is>
          <t>TBD</t>
        </is>
      </c>
    </row>
    <row r="62">
      <c r="A62" s="14" t="n">
        <v>7</v>
      </c>
      <c r="B62" s="14" t="inlineStr">
        <is>
          <t>U4</t>
        </is>
      </c>
      <c r="C62" s="14" t="inlineStr">
        <is>
          <t>RV-3028-C7</t>
        </is>
      </c>
      <c r="D62" s="14" t="inlineStr">
        <is>
          <t>U-DIG</t>
        </is>
      </c>
      <c r="E62" s="14" t="inlineStr">
        <is>
          <t>PinCount</t>
        </is>
      </c>
      <c r="F62" s="15" t="inlineStr">
        <is>
          <t>TBD</t>
        </is>
      </c>
    </row>
    <row r="63">
      <c r="A63" s="14" t="n">
        <v>7</v>
      </c>
      <c r="B63" s="14" t="inlineStr">
        <is>
          <t>U4</t>
        </is>
      </c>
      <c r="C63" s="14" t="inlineStr">
        <is>
          <t>RV-3028-C7</t>
        </is>
      </c>
      <c r="D63" s="14" t="inlineStr">
        <is>
          <t>U-DIG</t>
        </is>
      </c>
      <c r="E63" s="14" t="inlineStr">
        <is>
          <t>ThermalPad</t>
        </is>
      </c>
      <c r="F63" s="15" t="inlineStr">
        <is>
          <t>TBD</t>
        </is>
      </c>
    </row>
    <row r="64">
      <c r="A64" s="14" t="n">
        <v>7</v>
      </c>
      <c r="B64" s="14" t="inlineStr">
        <is>
          <t>U4</t>
        </is>
      </c>
      <c r="C64" s="14" t="inlineStr">
        <is>
          <t>RV-3028-C7</t>
        </is>
      </c>
      <c r="D64" s="14" t="inlineStr">
        <is>
          <t>U-DIG</t>
        </is>
      </c>
      <c r="E64" s="14" t="inlineStr">
        <is>
          <t>InterfaceType</t>
        </is>
      </c>
      <c r="F64" s="14" t="inlineStr">
        <is>
          <t>I2C</t>
        </is>
      </c>
    </row>
    <row r="65">
      <c r="A65" s="14" t="n">
        <v>7</v>
      </c>
      <c r="B65" s="14" t="inlineStr">
        <is>
          <t>U4</t>
        </is>
      </c>
      <c r="C65" s="14" t="inlineStr">
        <is>
          <t>RV-3028-C7</t>
        </is>
      </c>
      <c r="D65" s="14" t="inlineStr">
        <is>
          <t>U-DIG</t>
        </is>
      </c>
      <c r="E65" s="14" t="inlineStr">
        <is>
          <t>Function</t>
        </is>
      </c>
      <c r="F65" s="14" t="inlineStr">
        <is>
          <t>RTC, I2C</t>
        </is>
      </c>
    </row>
    <row r="66">
      <c r="A66" s="14" t="n">
        <v>7</v>
      </c>
      <c r="B66" s="14" t="inlineStr">
        <is>
          <t>U4</t>
        </is>
      </c>
      <c r="C66" s="14" t="inlineStr">
        <is>
          <t>RV-3028-C7</t>
        </is>
      </c>
      <c r="D66" s="14" t="inlineStr">
        <is>
          <t>U-DIG</t>
        </is>
      </c>
      <c r="E66" s="14" t="inlineStr">
        <is>
          <t>LogicFamily</t>
        </is>
      </c>
      <c r="F66" s="15" t="inlineStr">
        <is>
          <t>TBD</t>
        </is>
      </c>
    </row>
    <row r="67">
      <c r="A67" s="14" t="n">
        <v>7</v>
      </c>
      <c r="B67" s="14" t="inlineStr">
        <is>
          <t>U4</t>
        </is>
      </c>
      <c r="C67" s="14" t="inlineStr">
        <is>
          <t>RV-3028-C7</t>
        </is>
      </c>
      <c r="D67" s="14" t="inlineStr">
        <is>
          <t>U-DIG</t>
        </is>
      </c>
      <c r="E67" s="14" t="inlineStr">
        <is>
          <t>ChannelCount</t>
        </is>
      </c>
      <c r="F67" s="15" t="inlineStr">
        <is>
          <t>TBD</t>
        </is>
      </c>
    </row>
    <row r="68">
      <c r="A68" s="14" t="n">
        <v>7</v>
      </c>
      <c r="B68" s="14" t="inlineStr">
        <is>
          <t>U4</t>
        </is>
      </c>
      <c r="C68" s="14" t="inlineStr">
        <is>
          <t>RV-3028-C7</t>
        </is>
      </c>
      <c r="D68" s="14" t="inlineStr">
        <is>
          <t>U-DIG</t>
        </is>
      </c>
      <c r="E68" s="14" t="inlineStr">
        <is>
          <t>OutputType</t>
        </is>
      </c>
      <c r="F68" s="15" t="inlineStr">
        <is>
          <t>TBD</t>
        </is>
      </c>
    </row>
    <row r="69">
      <c r="A69" s="14" t="n">
        <v>7</v>
      </c>
      <c r="B69" s="14" t="inlineStr">
        <is>
          <t>U4</t>
        </is>
      </c>
      <c r="C69" s="14" t="inlineStr">
        <is>
          <t>RV-3028-C7</t>
        </is>
      </c>
      <c r="D69" s="14" t="inlineStr">
        <is>
          <t>U-DIG</t>
        </is>
      </c>
      <c r="E69" s="14" t="inlineStr">
        <is>
          <t>TimekeepingAccuracy</t>
        </is>
      </c>
      <c r="F69" s="15" t="inlineStr">
        <is>
          <t>TBD</t>
        </is>
      </c>
    </row>
    <row r="70">
      <c r="A70" s="14" t="n">
        <v>8</v>
      </c>
      <c r="B70" s="14" t="inlineStr">
        <is>
          <t>U6</t>
        </is>
      </c>
      <c r="C70" s="14" t="inlineStr">
        <is>
          <t>TL431BIDBZR</t>
        </is>
      </c>
      <c r="D70" s="14" t="inlineStr">
        <is>
          <t>U-ANA</t>
        </is>
      </c>
      <c r="E70" s="14" t="inlineStr">
        <is>
          <t>SupplyVoltage</t>
        </is>
      </c>
      <c r="F70" s="15" t="inlineStr">
        <is>
          <t>TBD</t>
        </is>
      </c>
    </row>
    <row r="71">
      <c r="A71" s="14" t="n">
        <v>8</v>
      </c>
      <c r="B71" s="14" t="inlineStr">
        <is>
          <t>U6</t>
        </is>
      </c>
      <c r="C71" s="14" t="inlineStr">
        <is>
          <t>TL431BIDBZR</t>
        </is>
      </c>
      <c r="D71" s="14" t="inlineStr">
        <is>
          <t>U-ANA</t>
        </is>
      </c>
      <c r="E71" s="14" t="inlineStr">
        <is>
          <t>PinCount</t>
        </is>
      </c>
      <c r="F71" s="15" t="inlineStr">
        <is>
          <t>TBD</t>
        </is>
      </c>
    </row>
    <row r="72">
      <c r="A72" s="14" t="n">
        <v>8</v>
      </c>
      <c r="B72" s="14" t="inlineStr">
        <is>
          <t>U6</t>
        </is>
      </c>
      <c r="C72" s="14" t="inlineStr">
        <is>
          <t>TL431BIDBZR</t>
        </is>
      </c>
      <c r="D72" s="14" t="inlineStr">
        <is>
          <t>U-ANA</t>
        </is>
      </c>
      <c r="E72" s="14" t="inlineStr">
        <is>
          <t>ThermalPad</t>
        </is>
      </c>
      <c r="F72" s="15" t="inlineStr">
        <is>
          <t>TBD</t>
        </is>
      </c>
    </row>
    <row r="73">
      <c r="A73" s="14" t="n">
        <v>8</v>
      </c>
      <c r="B73" s="14" t="inlineStr">
        <is>
          <t>U6</t>
        </is>
      </c>
      <c r="C73" s="14" t="inlineStr">
        <is>
          <t>TL431BIDBZR</t>
        </is>
      </c>
      <c r="D73" s="14" t="inlineStr">
        <is>
          <t>U-ANA</t>
        </is>
      </c>
      <c r="E73" s="14" t="inlineStr">
        <is>
          <t>InterfaceType</t>
        </is>
      </c>
      <c r="F73" s="14" t="inlineStr">
        <is>
          <t>None</t>
        </is>
      </c>
    </row>
    <row r="74">
      <c r="A74" s="14" t="n">
        <v>8</v>
      </c>
      <c r="B74" s="14" t="inlineStr">
        <is>
          <t>U6</t>
        </is>
      </c>
      <c r="C74" s="14" t="inlineStr">
        <is>
          <t>TL431BIDBZR</t>
        </is>
      </c>
      <c r="D74" s="14" t="inlineStr">
        <is>
          <t>U-ANA</t>
        </is>
      </c>
      <c r="E74" s="14" t="inlineStr">
        <is>
          <t>ChannelCount</t>
        </is>
      </c>
      <c r="F74" s="15" t="inlineStr">
        <is>
          <t>TBD</t>
        </is>
      </c>
    </row>
    <row r="75">
      <c r="A75" s="14" t="n">
        <v>8</v>
      </c>
      <c r="B75" s="14" t="inlineStr">
        <is>
          <t>U6</t>
        </is>
      </c>
      <c r="C75" s="14" t="inlineStr">
        <is>
          <t>TL431BIDBZR</t>
        </is>
      </c>
      <c r="D75" s="14" t="inlineStr">
        <is>
          <t>U-ANA</t>
        </is>
      </c>
      <c r="E75" s="14" t="inlineStr">
        <is>
          <t>GainBandwidth</t>
        </is>
      </c>
      <c r="F75" s="15" t="inlineStr">
        <is>
          <t>TBD</t>
        </is>
      </c>
    </row>
    <row r="76">
      <c r="A76" s="14" t="n">
        <v>8</v>
      </c>
      <c r="B76" s="14" t="inlineStr">
        <is>
          <t>U6</t>
        </is>
      </c>
      <c r="C76" s="14" t="inlineStr">
        <is>
          <t>TL431BIDBZR</t>
        </is>
      </c>
      <c r="D76" s="14" t="inlineStr">
        <is>
          <t>U-ANA</t>
        </is>
      </c>
      <c r="E76" s="14" t="inlineStr">
        <is>
          <t>InputOffsetVoltage</t>
        </is>
      </c>
      <c r="F76" s="15" t="inlineStr">
        <is>
          <t>TBD</t>
        </is>
      </c>
    </row>
    <row r="77">
      <c r="A77" s="14" t="n">
        <v>8</v>
      </c>
      <c r="B77" s="14" t="inlineStr">
        <is>
          <t>U6</t>
        </is>
      </c>
      <c r="C77" s="14" t="inlineStr">
        <is>
          <t>TL431BIDBZR</t>
        </is>
      </c>
      <c r="D77" s="14" t="inlineStr">
        <is>
          <t>U-ANA</t>
        </is>
      </c>
      <c r="E77" s="14" t="inlineStr">
        <is>
          <t>SupplyCurrent</t>
        </is>
      </c>
      <c r="F77" s="15" t="inlineStr">
        <is>
          <t>TBD</t>
        </is>
      </c>
    </row>
    <row r="78">
      <c r="A78" s="14" t="n">
        <v>8</v>
      </c>
      <c r="B78" s="14" t="inlineStr">
        <is>
          <t>U6</t>
        </is>
      </c>
      <c r="C78" s="14" t="inlineStr">
        <is>
          <t>TL431BIDBZR</t>
        </is>
      </c>
      <c r="D78" s="14" t="inlineStr">
        <is>
          <t>U-ANA</t>
        </is>
      </c>
      <c r="E78" s="14" t="inlineStr">
        <is>
          <t>RailToRail</t>
        </is>
      </c>
      <c r="F78" s="15" t="inlineStr">
        <is>
          <t>TBD</t>
        </is>
      </c>
    </row>
    <row r="79">
      <c r="A79" s="14" t="n">
        <v>9</v>
      </c>
      <c r="B79" s="14" t="inlineStr">
        <is>
          <t>U10</t>
        </is>
      </c>
      <c r="C79" s="14" t="inlineStr">
        <is>
          <t>TPD4EUSB30</t>
        </is>
      </c>
      <c r="D79" s="14" t="inlineStr">
        <is>
          <t>TVS</t>
        </is>
      </c>
      <c r="E79" s="14" t="inlineStr">
        <is>
          <t>StandoffVoltage</t>
        </is>
      </c>
      <c r="F79" s="15" t="inlineStr">
        <is>
          <t>TBD</t>
        </is>
      </c>
    </row>
    <row r="80">
      <c r="A80" s="14" t="n">
        <v>9</v>
      </c>
      <c r="B80" s="14" t="inlineStr">
        <is>
          <t>U10</t>
        </is>
      </c>
      <c r="C80" s="14" t="inlineStr">
        <is>
          <t>TPD4EUSB30</t>
        </is>
      </c>
      <c r="D80" s="14" t="inlineStr">
        <is>
          <t>TVS</t>
        </is>
      </c>
      <c r="E80" s="14" t="inlineStr">
        <is>
          <t>BreakdownVoltage</t>
        </is>
      </c>
      <c r="F80" s="15" t="inlineStr">
        <is>
          <t>TBD</t>
        </is>
      </c>
    </row>
    <row r="81">
      <c r="A81" s="14" t="n">
        <v>9</v>
      </c>
      <c r="B81" s="14" t="inlineStr">
        <is>
          <t>U10</t>
        </is>
      </c>
      <c r="C81" s="14" t="inlineStr">
        <is>
          <t>TPD4EUSB30</t>
        </is>
      </c>
      <c r="D81" s="14" t="inlineStr">
        <is>
          <t>TVS</t>
        </is>
      </c>
      <c r="E81" s="14" t="inlineStr">
        <is>
          <t>ClampingVoltage</t>
        </is>
      </c>
      <c r="F81" s="15" t="inlineStr">
        <is>
          <t>TBD</t>
        </is>
      </c>
    </row>
    <row r="82">
      <c r="A82" s="14" t="n">
        <v>9</v>
      </c>
      <c r="B82" s="14" t="inlineStr">
        <is>
          <t>U10</t>
        </is>
      </c>
      <c r="C82" s="14" t="inlineStr">
        <is>
          <t>TPD4EUSB30</t>
        </is>
      </c>
      <c r="D82" s="14" t="inlineStr">
        <is>
          <t>TVS</t>
        </is>
      </c>
      <c r="E82" s="14" t="inlineStr">
        <is>
          <t>PeakPulseCurrent</t>
        </is>
      </c>
      <c r="F82" s="15" t="inlineStr">
        <is>
          <t>TBD</t>
        </is>
      </c>
    </row>
    <row r="83">
      <c r="A83" s="14" t="n">
        <v>9</v>
      </c>
      <c r="B83" s="14" t="inlineStr">
        <is>
          <t>U10</t>
        </is>
      </c>
      <c r="C83" s="14" t="inlineStr">
        <is>
          <t>TPD4EUSB30</t>
        </is>
      </c>
      <c r="D83" s="14" t="inlineStr">
        <is>
          <t>TVS</t>
        </is>
      </c>
      <c r="E83" s="14" t="inlineStr">
        <is>
          <t>Capacitance</t>
        </is>
      </c>
      <c r="F83" s="15" t="inlineStr">
        <is>
          <t>TBD</t>
        </is>
      </c>
    </row>
    <row r="84">
      <c r="A84" s="14" t="n">
        <v>9</v>
      </c>
      <c r="B84" s="14" t="inlineStr">
        <is>
          <t>U10</t>
        </is>
      </c>
      <c r="C84" s="14" t="inlineStr">
        <is>
          <t>TPD4EUSB30</t>
        </is>
      </c>
      <c r="D84" s="14" t="inlineStr">
        <is>
          <t>TVS</t>
        </is>
      </c>
      <c r="E84" s="14" t="inlineStr">
        <is>
          <t>ChannelCount</t>
        </is>
      </c>
      <c r="F84" s="14" t="inlineStr">
        <is>
          <t>4</t>
        </is>
      </c>
    </row>
    <row r="85">
      <c r="A85" s="14" t="n">
        <v>9</v>
      </c>
      <c r="B85" s="14" t="inlineStr">
        <is>
          <t>U10</t>
        </is>
      </c>
      <c r="C85" s="14" t="inlineStr">
        <is>
          <t>TPD4EUSB30</t>
        </is>
      </c>
      <c r="D85" s="14" t="inlineStr">
        <is>
          <t>TVS</t>
        </is>
      </c>
      <c r="E85" s="14" t="inlineStr">
        <is>
          <t>Polarity</t>
        </is>
      </c>
      <c r="F85" s="14" t="inlineStr">
        <is>
          <t>Unidirectional</t>
        </is>
      </c>
    </row>
    <row r="86">
      <c r="A86" s="14" t="n">
        <v>10</v>
      </c>
      <c r="B86" s="14" t="inlineStr">
        <is>
          <t>U11</t>
        </is>
      </c>
      <c r="C86" s="14" t="inlineStr">
        <is>
          <t>TPS55340PWPR</t>
        </is>
      </c>
      <c r="D86" s="14" t="inlineStr">
        <is>
          <t>U-SMPS</t>
        </is>
      </c>
      <c r="E86" s="14" t="inlineStr">
        <is>
          <t>SupplyVoltage</t>
        </is>
      </c>
      <c r="F86" s="15" t="inlineStr">
        <is>
          <t>TBD</t>
        </is>
      </c>
    </row>
    <row r="87">
      <c r="A87" s="14" t="n">
        <v>10</v>
      </c>
      <c r="B87" s="14" t="inlineStr">
        <is>
          <t>U11</t>
        </is>
      </c>
      <c r="C87" s="14" t="inlineStr">
        <is>
          <t>TPS55340PWPR</t>
        </is>
      </c>
      <c r="D87" s="14" t="inlineStr">
        <is>
          <t>U-SMPS</t>
        </is>
      </c>
      <c r="E87" s="14" t="inlineStr">
        <is>
          <t>PinCount</t>
        </is>
      </c>
      <c r="F87" s="15" t="inlineStr">
        <is>
          <t>TBD</t>
        </is>
      </c>
    </row>
    <row r="88">
      <c r="A88" s="14" t="n">
        <v>10</v>
      </c>
      <c r="B88" s="14" t="inlineStr">
        <is>
          <t>U11</t>
        </is>
      </c>
      <c r="C88" s="14" t="inlineStr">
        <is>
          <t>TPS55340PWPR</t>
        </is>
      </c>
      <c r="D88" s="14" t="inlineStr">
        <is>
          <t>U-SMPS</t>
        </is>
      </c>
      <c r="E88" s="14" t="inlineStr">
        <is>
          <t>ThermalPad</t>
        </is>
      </c>
      <c r="F88" s="15" t="inlineStr">
        <is>
          <t>TBD</t>
        </is>
      </c>
    </row>
    <row r="89">
      <c r="A89" s="14" t="n">
        <v>10</v>
      </c>
      <c r="B89" s="14" t="inlineStr">
        <is>
          <t>U11</t>
        </is>
      </c>
      <c r="C89" s="14" t="inlineStr">
        <is>
          <t>TPS55340PWPR</t>
        </is>
      </c>
      <c r="D89" s="14" t="inlineStr">
        <is>
          <t>U-SMPS</t>
        </is>
      </c>
      <c r="E89" s="14" t="inlineStr">
        <is>
          <t>InterfaceType</t>
        </is>
      </c>
      <c r="F89" s="14" t="inlineStr">
        <is>
          <t>None</t>
        </is>
      </c>
    </row>
    <row r="90">
      <c r="A90" s="14" t="n">
        <v>10</v>
      </c>
      <c r="B90" s="14" t="inlineStr">
        <is>
          <t>U11</t>
        </is>
      </c>
      <c r="C90" s="14" t="inlineStr">
        <is>
          <t>TPS55340PWPR</t>
        </is>
      </c>
      <c r="D90" s="14" t="inlineStr">
        <is>
          <t>U-SMPS</t>
        </is>
      </c>
      <c r="E90" s="14" t="inlineStr">
        <is>
          <t>Topology</t>
        </is>
      </c>
      <c r="F90" s="14" t="inlineStr">
        <is>
          <t>Boost</t>
        </is>
      </c>
    </row>
    <row r="91">
      <c r="A91" s="14" t="n">
        <v>10</v>
      </c>
      <c r="B91" s="14" t="inlineStr">
        <is>
          <t>U11</t>
        </is>
      </c>
      <c r="C91" s="14" t="inlineStr">
        <is>
          <t>TPS55340PWPR</t>
        </is>
      </c>
      <c r="D91" s="14" t="inlineStr">
        <is>
          <t>U-SMPS</t>
        </is>
      </c>
      <c r="E91" s="14" t="inlineStr">
        <is>
          <t>InputVoltage</t>
        </is>
      </c>
      <c r="F91" s="15" t="inlineStr">
        <is>
          <t>TBD</t>
        </is>
      </c>
    </row>
    <row r="92">
      <c r="A92" s="14" t="n">
        <v>10</v>
      </c>
      <c r="B92" s="14" t="inlineStr">
        <is>
          <t>U11</t>
        </is>
      </c>
      <c r="C92" s="14" t="inlineStr">
        <is>
          <t>TPS55340PWPR</t>
        </is>
      </c>
      <c r="D92" s="14" t="inlineStr">
        <is>
          <t>U-SMPS</t>
        </is>
      </c>
      <c r="E92" s="14" t="inlineStr">
        <is>
          <t>OutputVoltage</t>
        </is>
      </c>
      <c r="F92" s="15" t="inlineStr">
        <is>
          <t>TBD</t>
        </is>
      </c>
    </row>
    <row r="93">
      <c r="A93" s="14" t="n">
        <v>10</v>
      </c>
      <c r="B93" s="14" t="inlineStr">
        <is>
          <t>U11</t>
        </is>
      </c>
      <c r="C93" s="14" t="inlineStr">
        <is>
          <t>TPS55340PWPR</t>
        </is>
      </c>
      <c r="D93" s="14" t="inlineStr">
        <is>
          <t>U-SMPS</t>
        </is>
      </c>
      <c r="E93" s="14" t="inlineStr">
        <is>
          <t>OutputCurrent</t>
        </is>
      </c>
      <c r="F93" s="15" t="inlineStr">
        <is>
          <t>TBD</t>
        </is>
      </c>
    </row>
    <row r="94">
      <c r="A94" s="14" t="n">
        <v>10</v>
      </c>
      <c r="B94" s="14" t="inlineStr">
        <is>
          <t>U11</t>
        </is>
      </c>
      <c r="C94" s="14" t="inlineStr">
        <is>
          <t>TPS55340PWPR</t>
        </is>
      </c>
      <c r="D94" s="14" t="inlineStr">
        <is>
          <t>U-SMPS</t>
        </is>
      </c>
      <c r="E94" s="14" t="inlineStr">
        <is>
          <t>SwitchingFrequency</t>
        </is>
      </c>
      <c r="F94" s="15" t="inlineStr">
        <is>
          <t>TBD</t>
        </is>
      </c>
    </row>
    <row r="95">
      <c r="A95" s="14" t="n">
        <v>10</v>
      </c>
      <c r="B95" s="14" t="inlineStr">
        <is>
          <t>U11</t>
        </is>
      </c>
      <c r="C95" s="14" t="inlineStr">
        <is>
          <t>TPS55340PWPR</t>
        </is>
      </c>
      <c r="D95" s="14" t="inlineStr">
        <is>
          <t>U-SMPS</t>
        </is>
      </c>
      <c r="E95" s="14" t="inlineStr">
        <is>
          <t>IntegratedSwitch</t>
        </is>
      </c>
      <c r="F95" s="14" t="inlineStr">
        <is>
          <t>Yes</t>
        </is>
      </c>
    </row>
    <row r="96">
      <c r="A96" s="14" t="n">
        <v>10</v>
      </c>
      <c r="B96" s="14" t="inlineStr">
        <is>
          <t>U11</t>
        </is>
      </c>
      <c r="C96" s="14" t="inlineStr">
        <is>
          <t>TPS55340PWPR</t>
        </is>
      </c>
      <c r="D96" s="14" t="inlineStr">
        <is>
          <t>U-SMPS</t>
        </is>
      </c>
      <c r="E96" s="14" t="inlineStr">
        <is>
          <t>Synchronous</t>
        </is>
      </c>
      <c r="F96" s="15" t="inlineStr">
        <is>
          <t>TBD</t>
        </is>
      </c>
    </row>
    <row r="97">
      <c r="A97" s="14" t="n">
        <v>10</v>
      </c>
      <c r="B97" s="14" t="inlineStr">
        <is>
          <t>U11</t>
        </is>
      </c>
      <c r="C97" s="14" t="inlineStr">
        <is>
          <t>TPS55340PWPR</t>
        </is>
      </c>
      <c r="D97" s="14" t="inlineStr">
        <is>
          <t>U-SMPS</t>
        </is>
      </c>
      <c r="E97" s="14" t="inlineStr">
        <is>
          <t>ControlMode</t>
        </is>
      </c>
      <c r="F97" s="15" t="inlineStr">
        <is>
          <t>TBD</t>
        </is>
      </c>
    </row>
    <row r="98">
      <c r="A98" s="14" t="n">
        <v>11</v>
      </c>
      <c r="B98" s="14" t="inlineStr">
        <is>
          <t>U7</t>
        </is>
      </c>
      <c r="C98" s="14" t="inlineStr">
        <is>
          <t>TPS61023DRLR</t>
        </is>
      </c>
      <c r="D98" s="14" t="inlineStr">
        <is>
          <t>U-SMPS</t>
        </is>
      </c>
      <c r="E98" s="14" t="inlineStr">
        <is>
          <t>SupplyVoltage</t>
        </is>
      </c>
      <c r="F98" s="15" t="inlineStr">
        <is>
          <t>TBD</t>
        </is>
      </c>
    </row>
    <row r="99">
      <c r="A99" s="14" t="n">
        <v>11</v>
      </c>
      <c r="B99" s="14" t="inlineStr">
        <is>
          <t>U7</t>
        </is>
      </c>
      <c r="C99" s="14" t="inlineStr">
        <is>
          <t>TPS61023DRLR</t>
        </is>
      </c>
      <c r="D99" s="14" t="inlineStr">
        <is>
          <t>U-SMPS</t>
        </is>
      </c>
      <c r="E99" s="14" t="inlineStr">
        <is>
          <t>PinCount</t>
        </is>
      </c>
      <c r="F99" s="15" t="inlineStr">
        <is>
          <t>TBD</t>
        </is>
      </c>
    </row>
    <row r="100">
      <c r="A100" s="14" t="n">
        <v>11</v>
      </c>
      <c r="B100" s="14" t="inlineStr">
        <is>
          <t>U7</t>
        </is>
      </c>
      <c r="C100" s="14" t="inlineStr">
        <is>
          <t>TPS61023DRLR</t>
        </is>
      </c>
      <c r="D100" s="14" t="inlineStr">
        <is>
          <t>U-SMPS</t>
        </is>
      </c>
      <c r="E100" s="14" t="inlineStr">
        <is>
          <t>ThermalPad</t>
        </is>
      </c>
      <c r="F100" s="15" t="inlineStr">
        <is>
          <t>TBD</t>
        </is>
      </c>
    </row>
    <row r="101">
      <c r="A101" s="14" t="n">
        <v>11</v>
      </c>
      <c r="B101" s="14" t="inlineStr">
        <is>
          <t>U7</t>
        </is>
      </c>
      <c r="C101" s="14" t="inlineStr">
        <is>
          <t>TPS61023DRLR</t>
        </is>
      </c>
      <c r="D101" s="14" t="inlineStr">
        <is>
          <t>U-SMPS</t>
        </is>
      </c>
      <c r="E101" s="14" t="inlineStr">
        <is>
          <t>InterfaceType</t>
        </is>
      </c>
      <c r="F101" s="14" t="inlineStr">
        <is>
          <t>None</t>
        </is>
      </c>
    </row>
    <row r="102">
      <c r="A102" s="14" t="n">
        <v>11</v>
      </c>
      <c r="B102" s="14" t="inlineStr">
        <is>
          <t>U7</t>
        </is>
      </c>
      <c r="C102" s="14" t="inlineStr">
        <is>
          <t>TPS61023DRLR</t>
        </is>
      </c>
      <c r="D102" s="14" t="inlineStr">
        <is>
          <t>U-SMPS</t>
        </is>
      </c>
      <c r="E102" s="14" t="inlineStr">
        <is>
          <t>Topology</t>
        </is>
      </c>
      <c r="F102" s="14" t="inlineStr">
        <is>
          <t>Boost</t>
        </is>
      </c>
    </row>
    <row r="103">
      <c r="A103" s="14" t="n">
        <v>11</v>
      </c>
      <c r="B103" s="14" t="inlineStr">
        <is>
          <t>U7</t>
        </is>
      </c>
      <c r="C103" s="14" t="inlineStr">
        <is>
          <t>TPS61023DRLR</t>
        </is>
      </c>
      <c r="D103" s="14" t="inlineStr">
        <is>
          <t>U-SMPS</t>
        </is>
      </c>
      <c r="E103" s="14" t="inlineStr">
        <is>
          <t>InputVoltage</t>
        </is>
      </c>
      <c r="F103" s="15" t="inlineStr">
        <is>
          <t>TBD</t>
        </is>
      </c>
    </row>
    <row r="104">
      <c r="A104" s="14" t="n">
        <v>11</v>
      </c>
      <c r="B104" s="14" t="inlineStr">
        <is>
          <t>U7</t>
        </is>
      </c>
      <c r="C104" s="14" t="inlineStr">
        <is>
          <t>TPS61023DRLR</t>
        </is>
      </c>
      <c r="D104" s="14" t="inlineStr">
        <is>
          <t>U-SMPS</t>
        </is>
      </c>
      <c r="E104" s="14" t="inlineStr">
        <is>
          <t>OutputVoltage</t>
        </is>
      </c>
      <c r="F104" s="15" t="inlineStr">
        <is>
          <t>TBD</t>
        </is>
      </c>
    </row>
    <row r="105">
      <c r="A105" s="14" t="n">
        <v>11</v>
      </c>
      <c r="B105" s="14" t="inlineStr">
        <is>
          <t>U7</t>
        </is>
      </c>
      <c r="C105" s="14" t="inlineStr">
        <is>
          <t>TPS61023DRLR</t>
        </is>
      </c>
      <c r="D105" s="14" t="inlineStr">
        <is>
          <t>U-SMPS</t>
        </is>
      </c>
      <c r="E105" s="14" t="inlineStr">
        <is>
          <t>OutputCurrent</t>
        </is>
      </c>
      <c r="F105" s="15" t="inlineStr">
        <is>
          <t>TBD</t>
        </is>
      </c>
    </row>
    <row r="106">
      <c r="A106" s="14" t="n">
        <v>11</v>
      </c>
      <c r="B106" s="14" t="inlineStr">
        <is>
          <t>U7</t>
        </is>
      </c>
      <c r="C106" s="14" t="inlineStr">
        <is>
          <t>TPS61023DRLR</t>
        </is>
      </c>
      <c r="D106" s="14" t="inlineStr">
        <is>
          <t>U-SMPS</t>
        </is>
      </c>
      <c r="E106" s="14" t="inlineStr">
        <is>
          <t>SwitchingFrequency</t>
        </is>
      </c>
      <c r="F106" s="15" t="inlineStr">
        <is>
          <t>TBD</t>
        </is>
      </c>
    </row>
    <row r="107">
      <c r="A107" s="14" t="n">
        <v>11</v>
      </c>
      <c r="B107" s="14" t="inlineStr">
        <is>
          <t>U7</t>
        </is>
      </c>
      <c r="C107" s="14" t="inlineStr">
        <is>
          <t>TPS61023DRLR</t>
        </is>
      </c>
      <c r="D107" s="14" t="inlineStr">
        <is>
          <t>U-SMPS</t>
        </is>
      </c>
      <c r="E107" s="14" t="inlineStr">
        <is>
          <t>IntegratedSwitch</t>
        </is>
      </c>
      <c r="F107" s="15" t="inlineStr">
        <is>
          <t>TBD</t>
        </is>
      </c>
    </row>
    <row r="108">
      <c r="A108" s="14" t="n">
        <v>11</v>
      </c>
      <c r="B108" s="14" t="inlineStr">
        <is>
          <t>U7</t>
        </is>
      </c>
      <c r="C108" s="14" t="inlineStr">
        <is>
          <t>TPS61023DRLR</t>
        </is>
      </c>
      <c r="D108" s="14" t="inlineStr">
        <is>
          <t>U-SMPS</t>
        </is>
      </c>
      <c r="E108" s="14" t="inlineStr">
        <is>
          <t>Synchronous</t>
        </is>
      </c>
      <c r="F108" s="15" t="inlineStr">
        <is>
          <t>TBD</t>
        </is>
      </c>
    </row>
    <row r="109">
      <c r="A109" s="14" t="n">
        <v>11</v>
      </c>
      <c r="B109" s="14" t="inlineStr">
        <is>
          <t>U7</t>
        </is>
      </c>
      <c r="C109" s="14" t="inlineStr">
        <is>
          <t>TPS61023DRLR</t>
        </is>
      </c>
      <c r="D109" s="14" t="inlineStr">
        <is>
          <t>U-SMPS</t>
        </is>
      </c>
      <c r="E109" s="14" t="inlineStr">
        <is>
          <t>ControlMode</t>
        </is>
      </c>
      <c r="F109" s="15" t="inlineStr">
        <is>
          <t>TBD</t>
        </is>
      </c>
    </row>
    <row r="110">
      <c r="A110" s="14" t="n">
        <v>12</v>
      </c>
      <c r="B110" s="14" t="inlineStr">
        <is>
          <t>Q5, Q6</t>
        </is>
      </c>
      <c r="C110" s="14" t="inlineStr">
        <is>
          <t>60V 4mR TBD</t>
        </is>
      </c>
      <c r="D110" s="14" t="inlineStr">
        <is>
          <t>Q</t>
        </is>
      </c>
      <c r="E110" s="14" t="inlineStr">
        <is>
          <t>ChannelType</t>
        </is>
      </c>
      <c r="F110" s="14" t="inlineStr">
        <is>
          <t>N-Channel</t>
        </is>
      </c>
    </row>
    <row r="111">
      <c r="A111" s="14" t="n">
        <v>12</v>
      </c>
      <c r="B111" s="14" t="inlineStr">
        <is>
          <t>Q5, Q6</t>
        </is>
      </c>
      <c r="C111" s="14" t="inlineStr">
        <is>
          <t>60V 4mR TBD</t>
        </is>
      </c>
      <c r="D111" s="14" t="inlineStr">
        <is>
          <t>Q</t>
        </is>
      </c>
      <c r="E111" s="14" t="inlineStr">
        <is>
          <t>VoltageDS</t>
        </is>
      </c>
      <c r="F111" s="14" t="inlineStr">
        <is>
          <t>60V</t>
        </is>
      </c>
    </row>
    <row r="112">
      <c r="A112" s="14" t="n">
        <v>12</v>
      </c>
      <c r="B112" s="14" t="inlineStr">
        <is>
          <t>Q5, Q6</t>
        </is>
      </c>
      <c r="C112" s="14" t="inlineStr">
        <is>
          <t>60V 4mR TBD</t>
        </is>
      </c>
      <c r="D112" s="14" t="inlineStr">
        <is>
          <t>Q</t>
        </is>
      </c>
      <c r="E112" s="14" t="inlineStr">
        <is>
          <t>CurrentID</t>
        </is>
      </c>
      <c r="F112" s="15" t="inlineStr">
        <is>
          <t>TBD</t>
        </is>
      </c>
    </row>
    <row r="113">
      <c r="A113" s="14" t="n">
        <v>12</v>
      </c>
      <c r="B113" s="14" t="inlineStr">
        <is>
          <t>Q5, Q6</t>
        </is>
      </c>
      <c r="C113" s="14" t="inlineStr">
        <is>
          <t>60V 4mR TBD</t>
        </is>
      </c>
      <c r="D113" s="14" t="inlineStr">
        <is>
          <t>Q</t>
        </is>
      </c>
      <c r="E113" s="14" t="inlineStr">
        <is>
          <t>RdsOn</t>
        </is>
      </c>
      <c r="F113" s="14" t="inlineStr">
        <is>
          <t>4mOhm</t>
        </is>
      </c>
    </row>
    <row r="114">
      <c r="A114" s="14" t="n">
        <v>12</v>
      </c>
      <c r="B114" s="14" t="inlineStr">
        <is>
          <t>Q5, Q6</t>
        </is>
      </c>
      <c r="C114" s="14" t="inlineStr">
        <is>
          <t>60V 4mR TBD</t>
        </is>
      </c>
      <c r="D114" s="14" t="inlineStr">
        <is>
          <t>Q</t>
        </is>
      </c>
      <c r="E114" s="14" t="inlineStr">
        <is>
          <t>VgsThreshold</t>
        </is>
      </c>
      <c r="F114" s="15" t="inlineStr">
        <is>
          <t>TBD</t>
        </is>
      </c>
    </row>
    <row r="115">
      <c r="A115" s="14" t="n">
        <v>12</v>
      </c>
      <c r="B115" s="14" t="inlineStr">
        <is>
          <t>Q5, Q6</t>
        </is>
      </c>
      <c r="C115" s="14" t="inlineStr">
        <is>
          <t>60V 4mR TBD</t>
        </is>
      </c>
      <c r="D115" s="14" t="inlineStr">
        <is>
          <t>Q</t>
        </is>
      </c>
      <c r="E115" s="14" t="inlineStr">
        <is>
          <t>GateCharge</t>
        </is>
      </c>
      <c r="F115" s="15" t="inlineStr">
        <is>
          <t>TBD</t>
        </is>
      </c>
    </row>
    <row r="116">
      <c r="A116" s="14" t="n">
        <v>12</v>
      </c>
      <c r="B116" s="14" t="inlineStr">
        <is>
          <t>Q5, Q6</t>
        </is>
      </c>
      <c r="C116" s="14" t="inlineStr">
        <is>
          <t>60V 4mR TBD</t>
        </is>
      </c>
      <c r="D116" s="14" t="inlineStr">
        <is>
          <t>Q</t>
        </is>
      </c>
      <c r="E116" s="14" t="inlineStr">
        <is>
          <t>ThermalResistance</t>
        </is>
      </c>
      <c r="F116" s="15" t="inlineStr">
        <is>
          <t>TBD</t>
        </is>
      </c>
    </row>
    <row r="117">
      <c r="A117" s="14" t="n">
        <v>13</v>
      </c>
      <c r="B117" s="14" t="inlineStr">
        <is>
          <t>Q1, Q2</t>
        </is>
      </c>
      <c r="C117" s="14" t="inlineStr">
        <is>
          <t>BSS138</t>
        </is>
      </c>
      <c r="D117" s="14" t="inlineStr">
        <is>
          <t>Q</t>
        </is>
      </c>
      <c r="E117" s="14" t="inlineStr">
        <is>
          <t>ChannelType</t>
        </is>
      </c>
      <c r="F117" s="14" t="inlineStr">
        <is>
          <t>N-Channel</t>
        </is>
      </c>
    </row>
    <row r="118">
      <c r="A118" s="14" t="n">
        <v>13</v>
      </c>
      <c r="B118" s="14" t="inlineStr">
        <is>
          <t>Q1, Q2</t>
        </is>
      </c>
      <c r="C118" s="14" t="inlineStr">
        <is>
          <t>BSS138</t>
        </is>
      </c>
      <c r="D118" s="14" t="inlineStr">
        <is>
          <t>Q</t>
        </is>
      </c>
      <c r="E118" s="14" t="inlineStr">
        <is>
          <t>VoltageDS</t>
        </is>
      </c>
      <c r="F118" s="15" t="inlineStr">
        <is>
          <t>TBD</t>
        </is>
      </c>
    </row>
    <row r="119">
      <c r="A119" s="14" t="n">
        <v>13</v>
      </c>
      <c r="B119" s="14" t="inlineStr">
        <is>
          <t>Q1, Q2</t>
        </is>
      </c>
      <c r="C119" s="14" t="inlineStr">
        <is>
          <t>BSS138</t>
        </is>
      </c>
      <c r="D119" s="14" t="inlineStr">
        <is>
          <t>Q</t>
        </is>
      </c>
      <c r="E119" s="14" t="inlineStr">
        <is>
          <t>CurrentID</t>
        </is>
      </c>
      <c r="F119" s="15" t="inlineStr">
        <is>
          <t>TBD</t>
        </is>
      </c>
    </row>
    <row r="120">
      <c r="A120" s="14" t="n">
        <v>13</v>
      </c>
      <c r="B120" s="14" t="inlineStr">
        <is>
          <t>Q1, Q2</t>
        </is>
      </c>
      <c r="C120" s="14" t="inlineStr">
        <is>
          <t>BSS138</t>
        </is>
      </c>
      <c r="D120" s="14" t="inlineStr">
        <is>
          <t>Q</t>
        </is>
      </c>
      <c r="E120" s="14" t="inlineStr">
        <is>
          <t>RdsOn</t>
        </is>
      </c>
      <c r="F120" s="15" t="inlineStr">
        <is>
          <t>TBD</t>
        </is>
      </c>
    </row>
    <row r="121">
      <c r="A121" s="14" t="n">
        <v>13</v>
      </c>
      <c r="B121" s="14" t="inlineStr">
        <is>
          <t>Q1, Q2</t>
        </is>
      </c>
      <c r="C121" s="14" t="inlineStr">
        <is>
          <t>BSS138</t>
        </is>
      </c>
      <c r="D121" s="14" t="inlineStr">
        <is>
          <t>Q</t>
        </is>
      </c>
      <c r="E121" s="14" t="inlineStr">
        <is>
          <t>VgsThreshold</t>
        </is>
      </c>
      <c r="F121" s="15" t="inlineStr">
        <is>
          <t>TBD</t>
        </is>
      </c>
    </row>
    <row r="122">
      <c r="A122" s="14" t="n">
        <v>13</v>
      </c>
      <c r="B122" s="14" t="inlineStr">
        <is>
          <t>Q1, Q2</t>
        </is>
      </c>
      <c r="C122" s="14" t="inlineStr">
        <is>
          <t>BSS138</t>
        </is>
      </c>
      <c r="D122" s="14" t="inlineStr">
        <is>
          <t>Q</t>
        </is>
      </c>
      <c r="E122" s="14" t="inlineStr">
        <is>
          <t>GateCharge</t>
        </is>
      </c>
      <c r="F122" s="15" t="inlineStr">
        <is>
          <t>TBD</t>
        </is>
      </c>
    </row>
    <row r="123">
      <c r="A123" s="14" t="n">
        <v>13</v>
      </c>
      <c r="B123" s="14" t="inlineStr">
        <is>
          <t>Q1, Q2</t>
        </is>
      </c>
      <c r="C123" s="14" t="inlineStr">
        <is>
          <t>BSS138</t>
        </is>
      </c>
      <c r="D123" s="14" t="inlineStr">
        <is>
          <t>Q</t>
        </is>
      </c>
      <c r="E123" s="14" t="inlineStr">
        <is>
          <t>ThermalResistance</t>
        </is>
      </c>
      <c r="F123" s="15" t="inlineStr">
        <is>
          <t>TBD</t>
        </is>
      </c>
    </row>
    <row r="124">
      <c r="A124" s="14" t="n">
        <v>14</v>
      </c>
      <c r="B124" s="14" t="inlineStr">
        <is>
          <t>Q3, Q4</t>
        </is>
      </c>
      <c r="C124" s="14" t="inlineStr">
        <is>
          <t>IRF7855TRPBF</t>
        </is>
      </c>
      <c r="D124" s="14" t="inlineStr">
        <is>
          <t>Q</t>
        </is>
      </c>
      <c r="E124" s="14" t="inlineStr">
        <is>
          <t>ChannelType</t>
        </is>
      </c>
      <c r="F124" s="14" t="inlineStr">
        <is>
          <t>N-Channel</t>
        </is>
      </c>
    </row>
    <row r="125">
      <c r="A125" s="14" t="n">
        <v>14</v>
      </c>
      <c r="B125" s="14" t="inlineStr">
        <is>
          <t>Q3, Q4</t>
        </is>
      </c>
      <c r="C125" s="14" t="inlineStr">
        <is>
          <t>IRF7855TRPBF</t>
        </is>
      </c>
      <c r="D125" s="14" t="inlineStr">
        <is>
          <t>Q</t>
        </is>
      </c>
      <c r="E125" s="14" t="inlineStr">
        <is>
          <t>VoltageDS</t>
        </is>
      </c>
      <c r="F125" s="15" t="inlineStr">
        <is>
          <t>TBD</t>
        </is>
      </c>
    </row>
    <row r="126">
      <c r="A126" s="14" t="n">
        <v>14</v>
      </c>
      <c r="B126" s="14" t="inlineStr">
        <is>
          <t>Q3, Q4</t>
        </is>
      </c>
      <c r="C126" s="14" t="inlineStr">
        <is>
          <t>IRF7855TRPBF</t>
        </is>
      </c>
      <c r="D126" s="14" t="inlineStr">
        <is>
          <t>Q</t>
        </is>
      </c>
      <c r="E126" s="14" t="inlineStr">
        <is>
          <t>CurrentID</t>
        </is>
      </c>
      <c r="F126" s="15" t="inlineStr">
        <is>
          <t>TBD</t>
        </is>
      </c>
    </row>
    <row r="127">
      <c r="A127" s="14" t="n">
        <v>14</v>
      </c>
      <c r="B127" s="14" t="inlineStr">
        <is>
          <t>Q3, Q4</t>
        </is>
      </c>
      <c r="C127" s="14" t="inlineStr">
        <is>
          <t>IRF7855TRPBF</t>
        </is>
      </c>
      <c r="D127" s="14" t="inlineStr">
        <is>
          <t>Q</t>
        </is>
      </c>
      <c r="E127" s="14" t="inlineStr">
        <is>
          <t>RdsOn</t>
        </is>
      </c>
      <c r="F127" s="15" t="inlineStr">
        <is>
          <t>TBD</t>
        </is>
      </c>
    </row>
    <row r="128">
      <c r="A128" s="14" t="n">
        <v>14</v>
      </c>
      <c r="B128" s="14" t="inlineStr">
        <is>
          <t>Q3, Q4</t>
        </is>
      </c>
      <c r="C128" s="14" t="inlineStr">
        <is>
          <t>IRF7855TRPBF</t>
        </is>
      </c>
      <c r="D128" s="14" t="inlineStr">
        <is>
          <t>Q</t>
        </is>
      </c>
      <c r="E128" s="14" t="inlineStr">
        <is>
          <t>VgsThreshold</t>
        </is>
      </c>
      <c r="F128" s="15" t="inlineStr">
        <is>
          <t>TBD</t>
        </is>
      </c>
    </row>
    <row r="129">
      <c r="A129" s="14" t="n">
        <v>14</v>
      </c>
      <c r="B129" s="14" t="inlineStr">
        <is>
          <t>Q3, Q4</t>
        </is>
      </c>
      <c r="C129" s="14" t="inlineStr">
        <is>
          <t>IRF7855TRPBF</t>
        </is>
      </c>
      <c r="D129" s="14" t="inlineStr">
        <is>
          <t>Q</t>
        </is>
      </c>
      <c r="E129" s="14" t="inlineStr">
        <is>
          <t>GateCharge</t>
        </is>
      </c>
      <c r="F129" s="15" t="inlineStr">
        <is>
          <t>TBD</t>
        </is>
      </c>
    </row>
    <row r="130">
      <c r="A130" s="14" t="n">
        <v>14</v>
      </c>
      <c r="B130" s="14" t="inlineStr">
        <is>
          <t>Q3, Q4</t>
        </is>
      </c>
      <c r="C130" s="14" t="inlineStr">
        <is>
          <t>IRF7855TRPBF</t>
        </is>
      </c>
      <c r="D130" s="14" t="inlineStr">
        <is>
          <t>Q</t>
        </is>
      </c>
      <c r="E130" s="14" t="inlineStr">
        <is>
          <t>ThermalResistance</t>
        </is>
      </c>
      <c r="F130" s="15" t="inlineStr">
        <is>
          <t>TBD</t>
        </is>
      </c>
    </row>
    <row r="131">
      <c r="A131" s="14" t="n">
        <v>15</v>
      </c>
      <c r="B131" s="14" t="inlineStr">
        <is>
          <t>D5</t>
        </is>
      </c>
      <c r="C131" s="14" t="inlineStr">
        <is>
          <t>BAT54</t>
        </is>
      </c>
      <c r="D131" s="14" t="inlineStr">
        <is>
          <t>D</t>
        </is>
      </c>
      <c r="E131" s="14" t="inlineStr">
        <is>
          <t>DiodeType</t>
        </is>
      </c>
      <c r="F131" s="14" t="inlineStr">
        <is>
          <t>Schottky</t>
        </is>
      </c>
    </row>
    <row r="132">
      <c r="A132" s="14" t="n">
        <v>15</v>
      </c>
      <c r="B132" s="14" t="inlineStr">
        <is>
          <t>D5</t>
        </is>
      </c>
      <c r="C132" s="14" t="inlineStr">
        <is>
          <t>BAT54</t>
        </is>
      </c>
      <c r="D132" s="14" t="inlineStr">
        <is>
          <t>D</t>
        </is>
      </c>
      <c r="E132" s="14" t="inlineStr">
        <is>
          <t>ReverseVoltage</t>
        </is>
      </c>
      <c r="F132" s="15" t="inlineStr">
        <is>
          <t>TBD</t>
        </is>
      </c>
    </row>
    <row r="133">
      <c r="A133" s="14" t="n">
        <v>15</v>
      </c>
      <c r="B133" s="14" t="inlineStr">
        <is>
          <t>D5</t>
        </is>
      </c>
      <c r="C133" s="14" t="inlineStr">
        <is>
          <t>BAT54</t>
        </is>
      </c>
      <c r="D133" s="14" t="inlineStr">
        <is>
          <t>D</t>
        </is>
      </c>
      <c r="E133" s="14" t="inlineStr">
        <is>
          <t>ForwardCurrent</t>
        </is>
      </c>
      <c r="F133" s="15" t="inlineStr">
        <is>
          <t>TBD</t>
        </is>
      </c>
    </row>
    <row r="134">
      <c r="A134" s="14" t="n">
        <v>15</v>
      </c>
      <c r="B134" s="14" t="inlineStr">
        <is>
          <t>D5</t>
        </is>
      </c>
      <c r="C134" s="14" t="inlineStr">
        <is>
          <t>BAT54</t>
        </is>
      </c>
      <c r="D134" s="14" t="inlineStr">
        <is>
          <t>D</t>
        </is>
      </c>
      <c r="E134" s="14" t="inlineStr">
        <is>
          <t>ForwardVoltage</t>
        </is>
      </c>
      <c r="F134" s="15" t="inlineStr">
        <is>
          <t>TBD</t>
        </is>
      </c>
    </row>
    <row r="135">
      <c r="A135" s="14" t="n">
        <v>15</v>
      </c>
      <c r="B135" s="14" t="inlineStr">
        <is>
          <t>D5</t>
        </is>
      </c>
      <c r="C135" s="14" t="inlineStr">
        <is>
          <t>BAT54</t>
        </is>
      </c>
      <c r="D135" s="14" t="inlineStr">
        <is>
          <t>D</t>
        </is>
      </c>
      <c r="E135" s="14" t="inlineStr">
        <is>
          <t>ReverseCurrent</t>
        </is>
      </c>
      <c r="F135" s="15" t="inlineStr">
        <is>
          <t>TBD</t>
        </is>
      </c>
    </row>
    <row r="136">
      <c r="A136" s="14" t="n">
        <v>16</v>
      </c>
      <c r="B136" s="14" t="inlineStr">
        <is>
          <t>D6</t>
        </is>
      </c>
      <c r="C136" s="14" t="inlineStr">
        <is>
          <t>BZT52C12</t>
        </is>
      </c>
      <c r="D136" s="14" t="inlineStr">
        <is>
          <t>D</t>
        </is>
      </c>
      <c r="E136" s="14" t="inlineStr">
        <is>
          <t>DiodeType</t>
        </is>
      </c>
      <c r="F136" s="14" t="inlineStr">
        <is>
          <t>Zener</t>
        </is>
      </c>
    </row>
    <row r="137">
      <c r="A137" s="14" t="n">
        <v>16</v>
      </c>
      <c r="B137" s="14" t="inlineStr">
        <is>
          <t>D6</t>
        </is>
      </c>
      <c r="C137" s="14" t="inlineStr">
        <is>
          <t>BZT52C12</t>
        </is>
      </c>
      <c r="D137" s="14" t="inlineStr">
        <is>
          <t>D</t>
        </is>
      </c>
      <c r="E137" s="14" t="inlineStr">
        <is>
          <t>ReverseVoltage</t>
        </is>
      </c>
      <c r="F137" s="15" t="inlineStr">
        <is>
          <t>TBD</t>
        </is>
      </c>
    </row>
    <row r="138">
      <c r="A138" s="14" t="n">
        <v>16</v>
      </c>
      <c r="B138" s="14" t="inlineStr">
        <is>
          <t>D6</t>
        </is>
      </c>
      <c r="C138" s="14" t="inlineStr">
        <is>
          <t>BZT52C12</t>
        </is>
      </c>
      <c r="D138" s="14" t="inlineStr">
        <is>
          <t>D</t>
        </is>
      </c>
      <c r="E138" s="14" t="inlineStr">
        <is>
          <t>ForwardCurrent</t>
        </is>
      </c>
      <c r="F138" s="15" t="inlineStr">
        <is>
          <t>TBD</t>
        </is>
      </c>
    </row>
    <row r="139">
      <c r="A139" s="14" t="n">
        <v>16</v>
      </c>
      <c r="B139" s="14" t="inlineStr">
        <is>
          <t>D6</t>
        </is>
      </c>
      <c r="C139" s="14" t="inlineStr">
        <is>
          <t>BZT52C12</t>
        </is>
      </c>
      <c r="D139" s="14" t="inlineStr">
        <is>
          <t>D</t>
        </is>
      </c>
      <c r="E139" s="14" t="inlineStr">
        <is>
          <t>ForwardVoltage</t>
        </is>
      </c>
      <c r="F139" s="15" t="inlineStr">
        <is>
          <t>TBD</t>
        </is>
      </c>
    </row>
    <row r="140">
      <c r="A140" s="14" t="n">
        <v>16</v>
      </c>
      <c r="B140" s="14" t="inlineStr">
        <is>
          <t>D6</t>
        </is>
      </c>
      <c r="C140" s="14" t="inlineStr">
        <is>
          <t>BZT52C12</t>
        </is>
      </c>
      <c r="D140" s="14" t="inlineStr">
        <is>
          <t>D</t>
        </is>
      </c>
      <c r="E140" s="14" t="inlineStr">
        <is>
          <t>ReverseCurrent</t>
        </is>
      </c>
      <c r="F140" s="15" t="inlineStr">
        <is>
          <t>TBD</t>
        </is>
      </c>
    </row>
    <row r="141">
      <c r="A141" s="14" t="n">
        <v>16</v>
      </c>
      <c r="B141" s="14" t="inlineStr">
        <is>
          <t>D6</t>
        </is>
      </c>
      <c r="C141" s="14" t="inlineStr">
        <is>
          <t>BZT52C12</t>
        </is>
      </c>
      <c r="D141" s="14" t="inlineStr">
        <is>
          <t>D</t>
        </is>
      </c>
      <c r="E141" s="14" t="inlineStr">
        <is>
          <t>ReverseRecoveryTime</t>
        </is>
      </c>
      <c r="F141" s="15" t="inlineStr">
        <is>
          <t>TBD</t>
        </is>
      </c>
    </row>
    <row r="142">
      <c r="A142" s="14" t="n">
        <v>16</v>
      </c>
      <c r="B142" s="14" t="inlineStr">
        <is>
          <t>D6</t>
        </is>
      </c>
      <c r="C142" s="14" t="inlineStr">
        <is>
          <t>BZT52C12</t>
        </is>
      </c>
      <c r="D142" s="14" t="inlineStr">
        <is>
          <t>D</t>
        </is>
      </c>
      <c r="E142" s="14" t="inlineStr">
        <is>
          <t>ZenerVoltage</t>
        </is>
      </c>
      <c r="F142" s="14" t="inlineStr">
        <is>
          <t>12V</t>
        </is>
      </c>
    </row>
    <row r="143">
      <c r="A143" s="14" t="n">
        <v>16</v>
      </c>
      <c r="B143" s="14" t="inlineStr">
        <is>
          <t>D6</t>
        </is>
      </c>
      <c r="C143" s="14" t="inlineStr">
        <is>
          <t>BZT52C12</t>
        </is>
      </c>
      <c r="D143" s="14" t="inlineStr">
        <is>
          <t>D</t>
        </is>
      </c>
      <c r="E143" s="14" t="inlineStr">
        <is>
          <t>ZenerTolerance</t>
        </is>
      </c>
      <c r="F143" s="15" t="inlineStr">
        <is>
          <t>TBD</t>
        </is>
      </c>
    </row>
    <row r="144">
      <c r="A144" s="14" t="n">
        <v>16</v>
      </c>
      <c r="B144" s="14" t="inlineStr">
        <is>
          <t>D6</t>
        </is>
      </c>
      <c r="C144" s="14" t="inlineStr">
        <is>
          <t>BZT52C12</t>
        </is>
      </c>
      <c r="D144" s="14" t="inlineStr">
        <is>
          <t>D</t>
        </is>
      </c>
      <c r="E144" s="14" t="inlineStr">
        <is>
          <t>PowerDissipation</t>
        </is>
      </c>
      <c r="F144" s="15" t="inlineStr">
        <is>
          <t>TBD</t>
        </is>
      </c>
    </row>
    <row r="145">
      <c r="A145" s="14" t="n">
        <v>16</v>
      </c>
      <c r="B145" s="14" t="inlineStr">
        <is>
          <t>D6</t>
        </is>
      </c>
      <c r="C145" s="14" t="inlineStr">
        <is>
          <t>BZT52C12</t>
        </is>
      </c>
      <c r="D145" s="14" t="inlineStr">
        <is>
          <t>D</t>
        </is>
      </c>
      <c r="E145" s="14" t="inlineStr">
        <is>
          <t>TestCurrent</t>
        </is>
      </c>
      <c r="F145" s="15" t="inlineStr">
        <is>
          <t>TBD</t>
        </is>
      </c>
    </row>
    <row r="146">
      <c r="A146" s="14" t="n">
        <v>17</v>
      </c>
      <c r="B146" s="14" t="inlineStr">
        <is>
          <t>D1</t>
        </is>
      </c>
      <c r="C146" s="14" t="inlineStr">
        <is>
          <t>LED</t>
        </is>
      </c>
      <c r="D146" s="14" t="inlineStr">
        <is>
          <t>LED</t>
        </is>
      </c>
      <c r="E146" s="14" t="inlineStr">
        <is>
          <t>Color</t>
        </is>
      </c>
      <c r="F146" s="15" t="inlineStr">
        <is>
          <t>TBD</t>
        </is>
      </c>
    </row>
    <row r="147">
      <c r="A147" s="14" t="n">
        <v>17</v>
      </c>
      <c r="B147" s="14" t="inlineStr">
        <is>
          <t>D1</t>
        </is>
      </c>
      <c r="C147" s="14" t="inlineStr">
        <is>
          <t>LED</t>
        </is>
      </c>
      <c r="D147" s="14" t="inlineStr">
        <is>
          <t>LED</t>
        </is>
      </c>
      <c r="E147" s="14" t="inlineStr">
        <is>
          <t>Wavelength</t>
        </is>
      </c>
      <c r="F147" s="15" t="inlineStr">
        <is>
          <t>TBD</t>
        </is>
      </c>
    </row>
    <row r="148">
      <c r="A148" s="14" t="n">
        <v>17</v>
      </c>
      <c r="B148" s="14" t="inlineStr">
        <is>
          <t>D1</t>
        </is>
      </c>
      <c r="C148" s="14" t="inlineStr">
        <is>
          <t>LED</t>
        </is>
      </c>
      <c r="D148" s="14" t="inlineStr">
        <is>
          <t>LED</t>
        </is>
      </c>
      <c r="E148" s="14" t="inlineStr">
        <is>
          <t>ForwardVoltage</t>
        </is>
      </c>
      <c r="F148" s="15" t="inlineStr">
        <is>
          <t>TBD</t>
        </is>
      </c>
    </row>
    <row r="149">
      <c r="A149" s="14" t="n">
        <v>17</v>
      </c>
      <c r="B149" s="14" t="inlineStr">
        <is>
          <t>D1</t>
        </is>
      </c>
      <c r="C149" s="14" t="inlineStr">
        <is>
          <t>LED</t>
        </is>
      </c>
      <c r="D149" s="14" t="inlineStr">
        <is>
          <t>LED</t>
        </is>
      </c>
      <c r="E149" s="14" t="inlineStr">
        <is>
          <t>ForwardCurrent</t>
        </is>
      </c>
      <c r="F149" s="15" t="inlineStr">
        <is>
          <t>TBD</t>
        </is>
      </c>
    </row>
    <row r="150">
      <c r="A150" s="14" t="n">
        <v>17</v>
      </c>
      <c r="B150" s="14" t="inlineStr">
        <is>
          <t>D1</t>
        </is>
      </c>
      <c r="C150" s="14" t="inlineStr">
        <is>
          <t>LED</t>
        </is>
      </c>
      <c r="D150" s="14" t="inlineStr">
        <is>
          <t>LED</t>
        </is>
      </c>
      <c r="E150" s="14" t="inlineStr">
        <is>
          <t>LuminousIntensity</t>
        </is>
      </c>
      <c r="F150" s="15" t="inlineStr">
        <is>
          <t>TBD</t>
        </is>
      </c>
    </row>
    <row r="151">
      <c r="A151" s="14" t="n">
        <v>17</v>
      </c>
      <c r="B151" s="14" t="inlineStr">
        <is>
          <t>D1</t>
        </is>
      </c>
      <c r="C151" s="14" t="inlineStr">
        <is>
          <t>LED</t>
        </is>
      </c>
      <c r="D151" s="14" t="inlineStr">
        <is>
          <t>LED</t>
        </is>
      </c>
      <c r="E151" s="14" t="inlineStr">
        <is>
          <t>ViewingAngle</t>
        </is>
      </c>
      <c r="F151" s="15" t="inlineStr">
        <is>
          <t>TBD</t>
        </is>
      </c>
    </row>
    <row r="152">
      <c r="A152" s="14" t="n">
        <v>17</v>
      </c>
      <c r="B152" s="14" t="inlineStr">
        <is>
          <t>D1</t>
        </is>
      </c>
      <c r="C152" s="14" t="inlineStr">
        <is>
          <t>LED</t>
        </is>
      </c>
      <c r="D152" s="14" t="inlineStr">
        <is>
          <t>LED</t>
        </is>
      </c>
      <c r="E152" s="14" t="inlineStr">
        <is>
          <t>LensType</t>
        </is>
      </c>
      <c r="F152" s="15" t="inlineStr">
        <is>
          <t>TBD</t>
        </is>
      </c>
    </row>
    <row r="153">
      <c r="A153" s="14" t="n">
        <v>18</v>
      </c>
      <c r="B153" s="14" t="inlineStr">
        <is>
          <t>D3, D7</t>
        </is>
      </c>
      <c r="C153" s="14" t="inlineStr">
        <is>
          <t>SMBJ30A</t>
        </is>
      </c>
      <c r="D153" s="14" t="inlineStr">
        <is>
          <t>TVS</t>
        </is>
      </c>
      <c r="E153" s="14" t="inlineStr">
        <is>
          <t>StandoffVoltage</t>
        </is>
      </c>
      <c r="F153" s="14" t="inlineStr">
        <is>
          <t>30V</t>
        </is>
      </c>
    </row>
    <row r="154">
      <c r="A154" s="14" t="n">
        <v>18</v>
      </c>
      <c r="B154" s="14" t="inlineStr">
        <is>
          <t>D3, D7</t>
        </is>
      </c>
      <c r="C154" s="14" t="inlineStr">
        <is>
          <t>SMBJ30A</t>
        </is>
      </c>
      <c r="D154" s="14" t="inlineStr">
        <is>
          <t>TVS</t>
        </is>
      </c>
      <c r="E154" s="14" t="inlineStr">
        <is>
          <t>BreakdownVoltage</t>
        </is>
      </c>
      <c r="F154" s="15" t="inlineStr">
        <is>
          <t>TBD</t>
        </is>
      </c>
    </row>
    <row r="155">
      <c r="A155" s="14" t="n">
        <v>18</v>
      </c>
      <c r="B155" s="14" t="inlineStr">
        <is>
          <t>D3, D7</t>
        </is>
      </c>
      <c r="C155" s="14" t="inlineStr">
        <is>
          <t>SMBJ30A</t>
        </is>
      </c>
      <c r="D155" s="14" t="inlineStr">
        <is>
          <t>TVS</t>
        </is>
      </c>
      <c r="E155" s="14" t="inlineStr">
        <is>
          <t>ClampingVoltage</t>
        </is>
      </c>
      <c r="F155" s="15" t="inlineStr">
        <is>
          <t>TBD</t>
        </is>
      </c>
    </row>
    <row r="156">
      <c r="A156" s="14" t="n">
        <v>18</v>
      </c>
      <c r="B156" s="14" t="inlineStr">
        <is>
          <t>D3, D7</t>
        </is>
      </c>
      <c r="C156" s="14" t="inlineStr">
        <is>
          <t>SMBJ30A</t>
        </is>
      </c>
      <c r="D156" s="14" t="inlineStr">
        <is>
          <t>TVS</t>
        </is>
      </c>
      <c r="E156" s="14" t="inlineStr">
        <is>
          <t>PeakPulseCurrent</t>
        </is>
      </c>
      <c r="F156" s="15" t="inlineStr">
        <is>
          <t>TBD</t>
        </is>
      </c>
    </row>
    <row r="157">
      <c r="A157" s="14" t="n">
        <v>18</v>
      </c>
      <c r="B157" s="14" t="inlineStr">
        <is>
          <t>D3, D7</t>
        </is>
      </c>
      <c r="C157" s="14" t="inlineStr">
        <is>
          <t>SMBJ30A</t>
        </is>
      </c>
      <c r="D157" s="14" t="inlineStr">
        <is>
          <t>TVS</t>
        </is>
      </c>
      <c r="E157" s="14" t="inlineStr">
        <is>
          <t>Capacitance</t>
        </is>
      </c>
      <c r="F157" s="15" t="inlineStr">
        <is>
          <t>TBD</t>
        </is>
      </c>
    </row>
    <row r="158">
      <c r="A158" s="14" t="n">
        <v>18</v>
      </c>
      <c r="B158" s="14" t="inlineStr">
        <is>
          <t>D3, D7</t>
        </is>
      </c>
      <c r="C158" s="14" t="inlineStr">
        <is>
          <t>SMBJ30A</t>
        </is>
      </c>
      <c r="D158" s="14" t="inlineStr">
        <is>
          <t>TVS</t>
        </is>
      </c>
      <c r="E158" s="14" t="inlineStr">
        <is>
          <t>ChannelCount</t>
        </is>
      </c>
      <c r="F158" s="14" t="inlineStr">
        <is>
          <t>1</t>
        </is>
      </c>
    </row>
    <row r="159">
      <c r="A159" s="14" t="n">
        <v>18</v>
      </c>
      <c r="B159" s="14" t="inlineStr">
        <is>
          <t>D3, D7</t>
        </is>
      </c>
      <c r="C159" s="14" t="inlineStr">
        <is>
          <t>SMBJ30A</t>
        </is>
      </c>
      <c r="D159" s="14" t="inlineStr">
        <is>
          <t>TVS</t>
        </is>
      </c>
      <c r="E159" s="14" t="inlineStr">
        <is>
          <t>Polarity</t>
        </is>
      </c>
      <c r="F159" s="14" t="inlineStr">
        <is>
          <t>Unidirectional</t>
        </is>
      </c>
    </row>
    <row r="160">
      <c r="A160" s="14" t="n">
        <v>19</v>
      </c>
      <c r="B160" s="14" t="inlineStr">
        <is>
          <t>D2</t>
        </is>
      </c>
      <c r="C160" s="14" t="inlineStr">
        <is>
          <t>SS2060FL</t>
        </is>
      </c>
      <c r="D160" s="14" t="inlineStr">
        <is>
          <t>D</t>
        </is>
      </c>
      <c r="E160" s="14" t="inlineStr">
        <is>
          <t>DiodeType</t>
        </is>
      </c>
      <c r="F160" s="14" t="inlineStr">
        <is>
          <t>Schottky</t>
        </is>
      </c>
    </row>
    <row r="161">
      <c r="A161" s="14" t="n">
        <v>19</v>
      </c>
      <c r="B161" s="14" t="inlineStr">
        <is>
          <t>D2</t>
        </is>
      </c>
      <c r="C161" s="14" t="inlineStr">
        <is>
          <t>SS2060FL</t>
        </is>
      </c>
      <c r="D161" s="14" t="inlineStr">
        <is>
          <t>D</t>
        </is>
      </c>
      <c r="E161" s="14" t="inlineStr">
        <is>
          <t>ReverseVoltage</t>
        </is>
      </c>
      <c r="F161" s="14" t="inlineStr">
        <is>
          <t>60V</t>
        </is>
      </c>
    </row>
    <row r="162">
      <c r="A162" s="14" t="n">
        <v>19</v>
      </c>
      <c r="B162" s="14" t="inlineStr">
        <is>
          <t>D2</t>
        </is>
      </c>
      <c r="C162" s="14" t="inlineStr">
        <is>
          <t>SS2060FL</t>
        </is>
      </c>
      <c r="D162" s="14" t="inlineStr">
        <is>
          <t>D</t>
        </is>
      </c>
      <c r="E162" s="14" t="inlineStr">
        <is>
          <t>ForwardCurrent</t>
        </is>
      </c>
      <c r="F162" s="14" t="inlineStr">
        <is>
          <t>2A</t>
        </is>
      </c>
    </row>
    <row r="163">
      <c r="A163" s="14" t="n">
        <v>19</v>
      </c>
      <c r="B163" s="14" t="inlineStr">
        <is>
          <t>D2</t>
        </is>
      </c>
      <c r="C163" s="14" t="inlineStr">
        <is>
          <t>SS2060FL</t>
        </is>
      </c>
      <c r="D163" s="14" t="inlineStr">
        <is>
          <t>D</t>
        </is>
      </c>
      <c r="E163" s="14" t="inlineStr">
        <is>
          <t>ForwardVoltage</t>
        </is>
      </c>
      <c r="F163" s="15" t="inlineStr">
        <is>
          <t>TBD</t>
        </is>
      </c>
    </row>
    <row r="164">
      <c r="A164" s="14" t="n">
        <v>19</v>
      </c>
      <c r="B164" s="14" t="inlineStr">
        <is>
          <t>D2</t>
        </is>
      </c>
      <c r="C164" s="14" t="inlineStr">
        <is>
          <t>SS2060FL</t>
        </is>
      </c>
      <c r="D164" s="14" t="inlineStr">
        <is>
          <t>D</t>
        </is>
      </c>
      <c r="E164" s="14" t="inlineStr">
        <is>
          <t>ReverseCurrent</t>
        </is>
      </c>
      <c r="F164" s="15" t="inlineStr">
        <is>
          <t>TBD</t>
        </is>
      </c>
    </row>
    <row r="165">
      <c r="A165" s="14" t="n">
        <v>20</v>
      </c>
      <c r="B165" s="14" t="inlineStr">
        <is>
          <t>D4</t>
        </is>
      </c>
      <c r="C165" s="14" t="inlineStr">
        <is>
          <t>SS34 TBD</t>
        </is>
      </c>
      <c r="D165" s="14" t="inlineStr">
        <is>
          <t>D</t>
        </is>
      </c>
      <c r="E165" s="14" t="inlineStr">
        <is>
          <t>DiodeType</t>
        </is>
      </c>
      <c r="F165" s="14" t="inlineStr">
        <is>
          <t>Schottky</t>
        </is>
      </c>
    </row>
    <row r="166">
      <c r="A166" s="14" t="n">
        <v>20</v>
      </c>
      <c r="B166" s="14" t="inlineStr">
        <is>
          <t>D4</t>
        </is>
      </c>
      <c r="C166" s="14" t="inlineStr">
        <is>
          <t>SS34 TBD</t>
        </is>
      </c>
      <c r="D166" s="14" t="inlineStr">
        <is>
          <t>D</t>
        </is>
      </c>
      <c r="E166" s="14" t="inlineStr">
        <is>
          <t>ReverseVoltage</t>
        </is>
      </c>
      <c r="F166" s="15" t="inlineStr">
        <is>
          <t>TBD</t>
        </is>
      </c>
    </row>
    <row r="167">
      <c r="A167" s="14" t="n">
        <v>20</v>
      </c>
      <c r="B167" s="14" t="inlineStr">
        <is>
          <t>D4</t>
        </is>
      </c>
      <c r="C167" s="14" t="inlineStr">
        <is>
          <t>SS34 TBD</t>
        </is>
      </c>
      <c r="D167" s="14" t="inlineStr">
        <is>
          <t>D</t>
        </is>
      </c>
      <c r="E167" s="14" t="inlineStr">
        <is>
          <t>ForwardCurrent</t>
        </is>
      </c>
      <c r="F167" s="15" t="inlineStr">
        <is>
          <t>TBD</t>
        </is>
      </c>
    </row>
    <row r="168">
      <c r="A168" s="14" t="n">
        <v>20</v>
      </c>
      <c r="B168" s="14" t="inlineStr">
        <is>
          <t>D4</t>
        </is>
      </c>
      <c r="C168" s="14" t="inlineStr">
        <is>
          <t>SS34 TBD</t>
        </is>
      </c>
      <c r="D168" s="14" t="inlineStr">
        <is>
          <t>D</t>
        </is>
      </c>
      <c r="E168" s="14" t="inlineStr">
        <is>
          <t>ForwardVoltage</t>
        </is>
      </c>
      <c r="F168" s="15" t="inlineStr">
        <is>
          <t>TBD</t>
        </is>
      </c>
    </row>
    <row r="169">
      <c r="A169" s="14" t="n">
        <v>20</v>
      </c>
      <c r="B169" s="14" t="inlineStr">
        <is>
          <t>D4</t>
        </is>
      </c>
      <c r="C169" s="14" t="inlineStr">
        <is>
          <t>SS34 TBD</t>
        </is>
      </c>
      <c r="D169" s="14" t="inlineStr">
        <is>
          <t>D</t>
        </is>
      </c>
      <c r="E169" s="14" t="inlineStr">
        <is>
          <t>ReverseCurrent</t>
        </is>
      </c>
      <c r="F169" s="15" t="inlineStr">
        <is>
          <t>TBD</t>
        </is>
      </c>
    </row>
    <row r="170">
      <c r="A170" s="14" t="n">
        <v>21</v>
      </c>
      <c r="B170" s="14" t="inlineStr">
        <is>
          <t>L1</t>
        </is>
      </c>
      <c r="C170" s="14" t="inlineStr">
        <is>
          <t>22u</t>
        </is>
      </c>
      <c r="D170" s="14" t="inlineStr">
        <is>
          <t>L</t>
        </is>
      </c>
      <c r="E170" s="14" t="inlineStr">
        <is>
          <t>Tolerance</t>
        </is>
      </c>
      <c r="F170" s="15" t="inlineStr">
        <is>
          <t>TBD</t>
        </is>
      </c>
    </row>
    <row r="171">
      <c r="A171" s="14" t="n">
        <v>21</v>
      </c>
      <c r="B171" s="14" t="inlineStr">
        <is>
          <t>L1</t>
        </is>
      </c>
      <c r="C171" s="14" t="inlineStr">
        <is>
          <t>22u</t>
        </is>
      </c>
      <c r="D171" s="14" t="inlineStr">
        <is>
          <t>L</t>
        </is>
      </c>
      <c r="E171" s="14" t="inlineStr">
        <is>
          <t>CurrentSaturation</t>
        </is>
      </c>
      <c r="F171" s="14" t="inlineStr">
        <is>
          <t>1.95A (L -17%, 18.2uH)</t>
        </is>
      </c>
    </row>
    <row r="172">
      <c r="A172" s="14" t="n">
        <v>21</v>
      </c>
      <c r="B172" s="14" t="inlineStr">
        <is>
          <t>L1</t>
        </is>
      </c>
      <c r="C172" s="14" t="inlineStr">
        <is>
          <t>22u</t>
        </is>
      </c>
      <c r="D172" s="14" t="inlineStr">
        <is>
          <t>L</t>
        </is>
      </c>
      <c r="E172" s="14" t="inlineStr">
        <is>
          <t>CurrentRMS</t>
        </is>
      </c>
      <c r="F172" s="14" t="inlineStr">
        <is>
          <t>1.95A</t>
        </is>
      </c>
    </row>
    <row r="173">
      <c r="A173" s="14" t="n">
        <v>21</v>
      </c>
      <c r="B173" s="14" t="inlineStr">
        <is>
          <t>L1</t>
        </is>
      </c>
      <c r="C173" s="14" t="inlineStr">
        <is>
          <t>22u</t>
        </is>
      </c>
      <c r="D173" s="14" t="inlineStr">
        <is>
          <t>L</t>
        </is>
      </c>
      <c r="E173" s="14" t="inlineStr">
        <is>
          <t>DCR</t>
        </is>
      </c>
      <c r="F173" s="14" t="inlineStr">
        <is>
          <t>110mOhm</t>
        </is>
      </c>
    </row>
    <row r="174">
      <c r="A174" s="14" t="n">
        <v>21</v>
      </c>
      <c r="B174" s="14" t="inlineStr">
        <is>
          <t>L1</t>
        </is>
      </c>
      <c r="C174" s="14" t="inlineStr">
        <is>
          <t>22u</t>
        </is>
      </c>
      <c r="D174" s="14" t="inlineStr">
        <is>
          <t>L</t>
        </is>
      </c>
      <c r="E174" s="14" t="inlineStr">
        <is>
          <t>Shielding</t>
        </is>
      </c>
      <c r="F174" s="14" t="inlineStr">
        <is>
          <t>Shielded</t>
        </is>
      </c>
    </row>
    <row r="175">
      <c r="A175" s="14" t="n">
        <v>21</v>
      </c>
      <c r="B175" s="14" t="inlineStr">
        <is>
          <t>L1</t>
        </is>
      </c>
      <c r="C175" s="14" t="inlineStr">
        <is>
          <t>22u</t>
        </is>
      </c>
      <c r="D175" s="14" t="inlineStr">
        <is>
          <t>L</t>
        </is>
      </c>
      <c r="E175" s="14" t="inlineStr">
        <is>
          <t>SRF</t>
        </is>
      </c>
      <c r="F175" s="15" t="inlineStr">
        <is>
          <t>TBD</t>
        </is>
      </c>
    </row>
    <row r="176">
      <c r="A176" s="14" t="n">
        <v>22</v>
      </c>
      <c r="B176" s="14" t="inlineStr">
        <is>
          <t>L2</t>
        </is>
      </c>
      <c r="C176" s="14" t="inlineStr">
        <is>
          <t>2u2</t>
        </is>
      </c>
      <c r="D176" s="14" t="inlineStr">
        <is>
          <t>L</t>
        </is>
      </c>
      <c r="E176" s="14" t="inlineStr">
        <is>
          <t>Tolerance</t>
        </is>
      </c>
      <c r="F176" s="15" t="inlineStr">
        <is>
          <t>TBD</t>
        </is>
      </c>
    </row>
    <row r="177">
      <c r="A177" s="14" t="n">
        <v>22</v>
      </c>
      <c r="B177" s="14" t="inlineStr">
        <is>
          <t>L2</t>
        </is>
      </c>
      <c r="C177" s="14" t="inlineStr">
        <is>
          <t>2u2</t>
        </is>
      </c>
      <c r="D177" s="14" t="inlineStr">
        <is>
          <t>L</t>
        </is>
      </c>
      <c r="E177" s="14" t="inlineStr">
        <is>
          <t>CurrentSaturation</t>
        </is>
      </c>
      <c r="F177" s="15" t="inlineStr">
        <is>
          <t>TBD</t>
        </is>
      </c>
    </row>
    <row r="178">
      <c r="A178" s="14" t="n">
        <v>22</v>
      </c>
      <c r="B178" s="14" t="inlineStr">
        <is>
          <t>L2</t>
        </is>
      </c>
      <c r="C178" s="14" t="inlineStr">
        <is>
          <t>2u2</t>
        </is>
      </c>
      <c r="D178" s="14" t="inlineStr">
        <is>
          <t>L</t>
        </is>
      </c>
      <c r="E178" s="14" t="inlineStr">
        <is>
          <t>CurrentRMS</t>
        </is>
      </c>
      <c r="F178" s="15" t="inlineStr">
        <is>
          <t>TBD</t>
        </is>
      </c>
    </row>
    <row r="179">
      <c r="A179" s="14" t="n">
        <v>22</v>
      </c>
      <c r="B179" s="14" t="inlineStr">
        <is>
          <t>L2</t>
        </is>
      </c>
      <c r="C179" s="14" t="inlineStr">
        <is>
          <t>2u2</t>
        </is>
      </c>
      <c r="D179" s="14" t="inlineStr">
        <is>
          <t>L</t>
        </is>
      </c>
      <c r="E179" s="14" t="inlineStr">
        <is>
          <t>DCR</t>
        </is>
      </c>
      <c r="F179" s="15" t="inlineStr">
        <is>
          <t>TBD</t>
        </is>
      </c>
    </row>
    <row r="180">
      <c r="A180" s="14" t="n">
        <v>22</v>
      </c>
      <c r="B180" s="14" t="inlineStr">
        <is>
          <t>L2</t>
        </is>
      </c>
      <c r="C180" s="14" t="inlineStr">
        <is>
          <t>2u2</t>
        </is>
      </c>
      <c r="D180" s="14" t="inlineStr">
        <is>
          <t>L</t>
        </is>
      </c>
      <c r="E180" s="14" t="inlineStr">
        <is>
          <t>Shielding</t>
        </is>
      </c>
      <c r="F180" s="15" t="inlineStr">
        <is>
          <t>TBD</t>
        </is>
      </c>
    </row>
    <row r="181">
      <c r="A181" s="14" t="n">
        <v>22</v>
      </c>
      <c r="B181" s="14" t="inlineStr">
        <is>
          <t>L2</t>
        </is>
      </c>
      <c r="C181" s="14" t="inlineStr">
        <is>
          <t>2u2</t>
        </is>
      </c>
      <c r="D181" s="14" t="inlineStr">
        <is>
          <t>L</t>
        </is>
      </c>
      <c r="E181" s="14" t="inlineStr">
        <is>
          <t>SRF</t>
        </is>
      </c>
      <c r="F181" s="15" t="inlineStr">
        <is>
          <t>TBD</t>
        </is>
      </c>
    </row>
    <row r="182">
      <c r="A182" s="14" t="n">
        <v>23</v>
      </c>
      <c r="B182" s="14" t="inlineStr">
        <is>
          <t>L3</t>
        </is>
      </c>
      <c r="C182" s="14" t="inlineStr">
        <is>
          <t>6u8</t>
        </is>
      </c>
      <c r="D182" s="14" t="inlineStr">
        <is>
          <t>L</t>
        </is>
      </c>
      <c r="E182" s="14" t="inlineStr">
        <is>
          <t>Tolerance</t>
        </is>
      </c>
      <c r="F182" s="15" t="inlineStr">
        <is>
          <t>TBD</t>
        </is>
      </c>
    </row>
    <row r="183">
      <c r="A183" s="14" t="n">
        <v>23</v>
      </c>
      <c r="B183" s="14" t="inlineStr">
        <is>
          <t>L3</t>
        </is>
      </c>
      <c r="C183" s="14" t="inlineStr">
        <is>
          <t>6u8</t>
        </is>
      </c>
      <c r="D183" s="14" t="inlineStr">
        <is>
          <t>L</t>
        </is>
      </c>
      <c r="E183" s="14" t="inlineStr">
        <is>
          <t>CurrentSaturation</t>
        </is>
      </c>
      <c r="F183" s="15" t="inlineStr">
        <is>
          <t>TBD</t>
        </is>
      </c>
    </row>
    <row r="184">
      <c r="A184" s="14" t="n">
        <v>23</v>
      </c>
      <c r="B184" s="14" t="inlineStr">
        <is>
          <t>L3</t>
        </is>
      </c>
      <c r="C184" s="14" t="inlineStr">
        <is>
          <t>6u8</t>
        </is>
      </c>
      <c r="D184" s="14" t="inlineStr">
        <is>
          <t>L</t>
        </is>
      </c>
      <c r="E184" s="14" t="inlineStr">
        <is>
          <t>CurrentRMS</t>
        </is>
      </c>
      <c r="F184" s="15" t="inlineStr">
        <is>
          <t>TBD</t>
        </is>
      </c>
    </row>
    <row r="185">
      <c r="A185" s="14" t="n">
        <v>23</v>
      </c>
      <c r="B185" s="14" t="inlineStr">
        <is>
          <t>L3</t>
        </is>
      </c>
      <c r="C185" s="14" t="inlineStr">
        <is>
          <t>6u8</t>
        </is>
      </c>
      <c r="D185" s="14" t="inlineStr">
        <is>
          <t>L</t>
        </is>
      </c>
      <c r="E185" s="14" t="inlineStr">
        <is>
          <t>DCR</t>
        </is>
      </c>
      <c r="F185" s="15" t="inlineStr">
        <is>
          <t>TBD</t>
        </is>
      </c>
    </row>
    <row r="186">
      <c r="A186" s="14" t="n">
        <v>23</v>
      </c>
      <c r="B186" s="14" t="inlineStr">
        <is>
          <t>L3</t>
        </is>
      </c>
      <c r="C186" s="14" t="inlineStr">
        <is>
          <t>6u8</t>
        </is>
      </c>
      <c r="D186" s="14" t="inlineStr">
        <is>
          <t>L</t>
        </is>
      </c>
      <c r="E186" s="14" t="inlineStr">
        <is>
          <t>Shielding</t>
        </is>
      </c>
      <c r="F186" s="15" t="inlineStr">
        <is>
          <t>TBD</t>
        </is>
      </c>
    </row>
    <row r="187">
      <c r="A187" s="14" t="n">
        <v>23</v>
      </c>
      <c r="B187" s="14" t="inlineStr">
        <is>
          <t>L3</t>
        </is>
      </c>
      <c r="C187" s="14" t="inlineStr">
        <is>
          <t>6u8</t>
        </is>
      </c>
      <c r="D187" s="14" t="inlineStr">
        <is>
          <t>L</t>
        </is>
      </c>
      <c r="E187" s="14" t="inlineStr">
        <is>
          <t>SRF</t>
        </is>
      </c>
      <c r="F187" s="15" t="inlineStr">
        <is>
          <t>TBD</t>
        </is>
      </c>
    </row>
    <row r="188">
      <c r="A188" s="14" t="n">
        <v>24</v>
      </c>
      <c r="B188" s="14" t="inlineStr">
        <is>
          <t>C14</t>
        </is>
      </c>
      <c r="C188" s="14" t="inlineStr">
        <is>
          <t>100n</t>
        </is>
      </c>
      <c r="D188" s="14" t="inlineStr">
        <is>
          <t>C</t>
        </is>
      </c>
      <c r="E188" s="14" t="inlineStr">
        <is>
          <t>Tolerance</t>
        </is>
      </c>
      <c r="F188" s="15" t="inlineStr">
        <is>
          <t>TBD</t>
        </is>
      </c>
    </row>
    <row r="189">
      <c r="A189" s="14" t="n">
        <v>24</v>
      </c>
      <c r="B189" s="14" t="inlineStr">
        <is>
          <t>C14</t>
        </is>
      </c>
      <c r="C189" s="14" t="inlineStr">
        <is>
          <t>100n</t>
        </is>
      </c>
      <c r="D189" s="14" t="inlineStr">
        <is>
          <t>C</t>
        </is>
      </c>
      <c r="E189" s="14" t="inlineStr">
        <is>
          <t>VoltageRating</t>
        </is>
      </c>
      <c r="F189" s="14" t="inlineStr">
        <is>
          <t>50V</t>
        </is>
      </c>
    </row>
    <row r="190">
      <c r="A190" s="14" t="n">
        <v>24</v>
      </c>
      <c r="B190" s="14" t="inlineStr">
        <is>
          <t>C14</t>
        </is>
      </c>
      <c r="C190" s="14" t="inlineStr">
        <is>
          <t>100n</t>
        </is>
      </c>
      <c r="D190" s="14" t="inlineStr">
        <is>
          <t>C</t>
        </is>
      </c>
      <c r="E190" s="14" t="inlineStr">
        <is>
          <t>Dielectric</t>
        </is>
      </c>
      <c r="F190" s="14" t="inlineStr">
        <is>
          <t>X7R</t>
        </is>
      </c>
    </row>
    <row r="191">
      <c r="A191" s="14" t="n">
        <v>24</v>
      </c>
      <c r="B191" s="14" t="inlineStr">
        <is>
          <t>C14</t>
        </is>
      </c>
      <c r="C191" s="14" t="inlineStr">
        <is>
          <t>100n</t>
        </is>
      </c>
      <c r="D191" s="14" t="inlineStr">
        <is>
          <t>C</t>
        </is>
      </c>
      <c r="E191" s="14" t="inlineStr">
        <is>
          <t>EffectiveCapacitance</t>
        </is>
      </c>
      <c r="F191" s="15" t="inlineStr">
        <is>
          <t>TBD</t>
        </is>
      </c>
    </row>
    <row r="192">
      <c r="A192" s="14" t="n">
        <v>25</v>
      </c>
      <c r="B192" s="14" t="inlineStr">
        <is>
          <t>C1, C2, C6, C9, C10, C11, C24</t>
        </is>
      </c>
      <c r="C192" s="14" t="inlineStr">
        <is>
          <t>100n</t>
        </is>
      </c>
      <c r="D192" s="14" t="inlineStr">
        <is>
          <t>C</t>
        </is>
      </c>
      <c r="E192" s="14" t="inlineStr">
        <is>
          <t>Tolerance</t>
        </is>
      </c>
      <c r="F192" s="15" t="inlineStr">
        <is>
          <t>TBD</t>
        </is>
      </c>
    </row>
    <row r="193">
      <c r="A193" s="14" t="n">
        <v>25</v>
      </c>
      <c r="B193" s="14" t="inlineStr">
        <is>
          <t>C1, C2, C6, C9, C10, C11, C24</t>
        </is>
      </c>
      <c r="C193" s="14" t="inlineStr">
        <is>
          <t>100n</t>
        </is>
      </c>
      <c r="D193" s="14" t="inlineStr">
        <is>
          <t>C</t>
        </is>
      </c>
      <c r="E193" s="14" t="inlineStr">
        <is>
          <t>VoltageRating</t>
        </is>
      </c>
      <c r="F193" s="15" t="inlineStr">
        <is>
          <t>TBD</t>
        </is>
      </c>
    </row>
    <row r="194">
      <c r="A194" s="14" t="n">
        <v>25</v>
      </c>
      <c r="B194" s="14" t="inlineStr">
        <is>
          <t>C1, C2, C6, C9, C10, C11, C24</t>
        </is>
      </c>
      <c r="C194" s="14" t="inlineStr">
        <is>
          <t>100n</t>
        </is>
      </c>
      <c r="D194" s="14" t="inlineStr">
        <is>
          <t>C</t>
        </is>
      </c>
      <c r="E194" s="14" t="inlineStr">
        <is>
          <t>Dielectric</t>
        </is>
      </c>
      <c r="F194" s="15" t="inlineStr">
        <is>
          <t>TBD</t>
        </is>
      </c>
    </row>
    <row r="195">
      <c r="A195" s="14" t="n">
        <v>25</v>
      </c>
      <c r="B195" s="14" t="inlineStr">
        <is>
          <t>C1, C2, C6, C9, C10, C11, C24</t>
        </is>
      </c>
      <c r="C195" s="14" t="inlineStr">
        <is>
          <t>100n</t>
        </is>
      </c>
      <c r="D195" s="14" t="inlineStr">
        <is>
          <t>C</t>
        </is>
      </c>
      <c r="E195" s="14" t="inlineStr">
        <is>
          <t>EffectiveCapacitance</t>
        </is>
      </c>
      <c r="F195" s="15" t="inlineStr">
        <is>
          <t>TBD</t>
        </is>
      </c>
    </row>
    <row r="196">
      <c r="A196" s="14" t="n">
        <v>26</v>
      </c>
      <c r="B196" s="14" t="inlineStr">
        <is>
          <t>C17</t>
        </is>
      </c>
      <c r="C196" s="14" t="inlineStr">
        <is>
          <t>100n</t>
        </is>
      </c>
      <c r="D196" s="14" t="inlineStr">
        <is>
          <t>C</t>
        </is>
      </c>
      <c r="E196" s="14" t="inlineStr">
        <is>
          <t>Tolerance</t>
        </is>
      </c>
      <c r="F196" s="15" t="inlineStr">
        <is>
          <t>TBD</t>
        </is>
      </c>
    </row>
    <row r="197">
      <c r="A197" s="14" t="n">
        <v>26</v>
      </c>
      <c r="B197" s="14" t="inlineStr">
        <is>
          <t>C17</t>
        </is>
      </c>
      <c r="C197" s="14" t="inlineStr">
        <is>
          <t>100n</t>
        </is>
      </c>
      <c r="D197" s="14" t="inlineStr">
        <is>
          <t>C</t>
        </is>
      </c>
      <c r="E197" s="14" t="inlineStr">
        <is>
          <t>VoltageRating</t>
        </is>
      </c>
      <c r="F197" s="14" t="inlineStr">
        <is>
          <t>16V</t>
        </is>
      </c>
    </row>
    <row r="198">
      <c r="A198" s="14" t="n">
        <v>26</v>
      </c>
      <c r="B198" s="14" t="inlineStr">
        <is>
          <t>C17</t>
        </is>
      </c>
      <c r="C198" s="14" t="inlineStr">
        <is>
          <t>100n</t>
        </is>
      </c>
      <c r="D198" s="14" t="inlineStr">
        <is>
          <t>C</t>
        </is>
      </c>
      <c r="E198" s="14" t="inlineStr">
        <is>
          <t>Dielectric</t>
        </is>
      </c>
      <c r="F198" s="15" t="inlineStr">
        <is>
          <t>TBD</t>
        </is>
      </c>
    </row>
    <row r="199">
      <c r="A199" s="14" t="n">
        <v>26</v>
      </c>
      <c r="B199" s="14" t="inlineStr">
        <is>
          <t>C17</t>
        </is>
      </c>
      <c r="C199" s="14" t="inlineStr">
        <is>
          <t>100n</t>
        </is>
      </c>
      <c r="D199" s="14" t="inlineStr">
        <is>
          <t>C</t>
        </is>
      </c>
      <c r="E199" s="14" t="inlineStr">
        <is>
          <t>EffectiveCapacitance</t>
        </is>
      </c>
      <c r="F199" s="15" t="inlineStr">
        <is>
          <t>TBD</t>
        </is>
      </c>
    </row>
    <row r="200">
      <c r="A200" s="14" t="n">
        <v>27</v>
      </c>
      <c r="B200" s="14" t="inlineStr">
        <is>
          <t>C26, C32</t>
        </is>
      </c>
      <c r="C200" s="14" t="inlineStr">
        <is>
          <t>100n</t>
        </is>
      </c>
      <c r="D200" s="14" t="inlineStr">
        <is>
          <t>C</t>
        </is>
      </c>
      <c r="E200" s="14" t="inlineStr">
        <is>
          <t>Tolerance</t>
        </is>
      </c>
      <c r="F200" s="15" t="inlineStr">
        <is>
          <t>TBD</t>
        </is>
      </c>
    </row>
    <row r="201">
      <c r="A201" s="14" t="n">
        <v>27</v>
      </c>
      <c r="B201" s="14" t="inlineStr">
        <is>
          <t>C26, C32</t>
        </is>
      </c>
      <c r="C201" s="14" t="inlineStr">
        <is>
          <t>100n</t>
        </is>
      </c>
      <c r="D201" s="14" t="inlineStr">
        <is>
          <t>C</t>
        </is>
      </c>
      <c r="E201" s="14" t="inlineStr">
        <is>
          <t>VoltageRating</t>
        </is>
      </c>
      <c r="F201" s="14" t="inlineStr">
        <is>
          <t>50V</t>
        </is>
      </c>
    </row>
    <row r="202">
      <c r="A202" s="14" t="n">
        <v>27</v>
      </c>
      <c r="B202" s="14" t="inlineStr">
        <is>
          <t>C26, C32</t>
        </is>
      </c>
      <c r="C202" s="14" t="inlineStr">
        <is>
          <t>100n</t>
        </is>
      </c>
      <c r="D202" s="14" t="inlineStr">
        <is>
          <t>C</t>
        </is>
      </c>
      <c r="E202" s="14" t="inlineStr">
        <is>
          <t>Dielectric</t>
        </is>
      </c>
      <c r="F202" s="15" t="inlineStr">
        <is>
          <t>TBD</t>
        </is>
      </c>
    </row>
    <row r="203">
      <c r="A203" s="14" t="n">
        <v>27</v>
      </c>
      <c r="B203" s="14" t="inlineStr">
        <is>
          <t>C26, C32</t>
        </is>
      </c>
      <c r="C203" s="14" t="inlineStr">
        <is>
          <t>100n</t>
        </is>
      </c>
      <c r="D203" s="14" t="inlineStr">
        <is>
          <t>C</t>
        </is>
      </c>
      <c r="E203" s="14" t="inlineStr">
        <is>
          <t>EffectiveCapacitance</t>
        </is>
      </c>
      <c r="F203" s="15" t="inlineStr">
        <is>
          <t>TBD</t>
        </is>
      </c>
    </row>
    <row r="204">
      <c r="A204" s="14" t="n">
        <v>28</v>
      </c>
      <c r="B204" s="14" t="inlineStr">
        <is>
          <t>C22</t>
        </is>
      </c>
      <c r="C204" s="14" t="inlineStr">
        <is>
          <t>100n</t>
        </is>
      </c>
      <c r="D204" s="14" t="inlineStr">
        <is>
          <t>C</t>
        </is>
      </c>
      <c r="E204" s="14" t="inlineStr">
        <is>
          <t>Tolerance</t>
        </is>
      </c>
      <c r="F204" s="15" t="inlineStr">
        <is>
          <t>TBD</t>
        </is>
      </c>
    </row>
    <row r="205">
      <c r="A205" s="14" t="n">
        <v>28</v>
      </c>
      <c r="B205" s="14" t="inlineStr">
        <is>
          <t>C22</t>
        </is>
      </c>
      <c r="C205" s="14" t="inlineStr">
        <is>
          <t>100n</t>
        </is>
      </c>
      <c r="D205" s="14" t="inlineStr">
        <is>
          <t>C</t>
        </is>
      </c>
      <c r="E205" s="14" t="inlineStr">
        <is>
          <t>VoltageRating</t>
        </is>
      </c>
      <c r="F205" s="14" t="inlineStr">
        <is>
          <t>16V</t>
        </is>
      </c>
    </row>
    <row r="206">
      <c r="A206" s="14" t="n">
        <v>28</v>
      </c>
      <c r="B206" s="14" t="inlineStr">
        <is>
          <t>C22</t>
        </is>
      </c>
      <c r="C206" s="14" t="inlineStr">
        <is>
          <t>100n</t>
        </is>
      </c>
      <c r="D206" s="14" t="inlineStr">
        <is>
          <t>C</t>
        </is>
      </c>
      <c r="E206" s="14" t="inlineStr">
        <is>
          <t>Dielectric</t>
        </is>
      </c>
      <c r="F206" s="14" t="inlineStr">
        <is>
          <t>X7R</t>
        </is>
      </c>
    </row>
    <row r="207">
      <c r="A207" s="14" t="n">
        <v>28</v>
      </c>
      <c r="B207" s="14" t="inlineStr">
        <is>
          <t>C22</t>
        </is>
      </c>
      <c r="C207" s="14" t="inlineStr">
        <is>
          <t>100n</t>
        </is>
      </c>
      <c r="D207" s="14" t="inlineStr">
        <is>
          <t>C</t>
        </is>
      </c>
      <c r="E207" s="14" t="inlineStr">
        <is>
          <t>EffectiveCapacitance</t>
        </is>
      </c>
      <c r="F207" s="15" t="inlineStr">
        <is>
          <t>TBD</t>
        </is>
      </c>
    </row>
    <row r="208">
      <c r="A208" s="14" t="n">
        <v>29</v>
      </c>
      <c r="B208" s="14" t="inlineStr">
        <is>
          <t>C18</t>
        </is>
      </c>
      <c r="C208" s="14" t="inlineStr">
        <is>
          <t>10n</t>
        </is>
      </c>
      <c r="D208" s="14" t="inlineStr">
        <is>
          <t>C</t>
        </is>
      </c>
      <c r="E208" s="14" t="inlineStr">
        <is>
          <t>Tolerance</t>
        </is>
      </c>
      <c r="F208" s="15" t="inlineStr">
        <is>
          <t>TBD</t>
        </is>
      </c>
    </row>
    <row r="209">
      <c r="A209" s="14" t="n">
        <v>29</v>
      </c>
      <c r="B209" s="14" t="inlineStr">
        <is>
          <t>C18</t>
        </is>
      </c>
      <c r="C209" s="14" t="inlineStr">
        <is>
          <t>10n</t>
        </is>
      </c>
      <c r="D209" s="14" t="inlineStr">
        <is>
          <t>C</t>
        </is>
      </c>
      <c r="E209" s="14" t="inlineStr">
        <is>
          <t>VoltageRating</t>
        </is>
      </c>
      <c r="F209" s="14" t="inlineStr">
        <is>
          <t>10V</t>
        </is>
      </c>
    </row>
    <row r="210">
      <c r="A210" s="14" t="n">
        <v>29</v>
      </c>
      <c r="B210" s="14" t="inlineStr">
        <is>
          <t>C18</t>
        </is>
      </c>
      <c r="C210" s="14" t="inlineStr">
        <is>
          <t>10n</t>
        </is>
      </c>
      <c r="D210" s="14" t="inlineStr">
        <is>
          <t>C</t>
        </is>
      </c>
      <c r="E210" s="14" t="inlineStr">
        <is>
          <t>Dielectric</t>
        </is>
      </c>
      <c r="F210" s="15" t="inlineStr">
        <is>
          <t>TBD</t>
        </is>
      </c>
    </row>
    <row r="211">
      <c r="A211" s="14" t="n">
        <v>29</v>
      </c>
      <c r="B211" s="14" t="inlineStr">
        <is>
          <t>C18</t>
        </is>
      </c>
      <c r="C211" s="14" t="inlineStr">
        <is>
          <t>10n</t>
        </is>
      </c>
      <c r="D211" s="14" t="inlineStr">
        <is>
          <t>C</t>
        </is>
      </c>
      <c r="E211" s="14" t="inlineStr">
        <is>
          <t>EffectiveCapacitance</t>
        </is>
      </c>
      <c r="F211" s="15" t="inlineStr">
        <is>
          <t>TBD</t>
        </is>
      </c>
    </row>
    <row r="212">
      <c r="A212" s="14" t="n">
        <v>30</v>
      </c>
      <c r="B212" s="14" t="inlineStr">
        <is>
          <t>C8</t>
        </is>
      </c>
      <c r="C212" s="14" t="inlineStr">
        <is>
          <t>10u</t>
        </is>
      </c>
      <c r="D212" s="14" t="inlineStr">
        <is>
          <t>C</t>
        </is>
      </c>
      <c r="E212" s="14" t="inlineStr">
        <is>
          <t>Tolerance</t>
        </is>
      </c>
      <c r="F212" s="15" t="inlineStr">
        <is>
          <t>TBD</t>
        </is>
      </c>
    </row>
    <row r="213">
      <c r="A213" s="14" t="n">
        <v>30</v>
      </c>
      <c r="B213" s="14" t="inlineStr">
        <is>
          <t>C8</t>
        </is>
      </c>
      <c r="C213" s="14" t="inlineStr">
        <is>
          <t>10u</t>
        </is>
      </c>
      <c r="D213" s="14" t="inlineStr">
        <is>
          <t>C</t>
        </is>
      </c>
      <c r="E213" s="14" t="inlineStr">
        <is>
          <t>VoltageRating</t>
        </is>
      </c>
      <c r="F213" s="14" t="inlineStr">
        <is>
          <t>50V</t>
        </is>
      </c>
    </row>
    <row r="214">
      <c r="A214" s="14" t="n">
        <v>30</v>
      </c>
      <c r="B214" s="14" t="inlineStr">
        <is>
          <t>C8</t>
        </is>
      </c>
      <c r="C214" s="14" t="inlineStr">
        <is>
          <t>10u</t>
        </is>
      </c>
      <c r="D214" s="14" t="inlineStr">
        <is>
          <t>C</t>
        </is>
      </c>
      <c r="E214" s="14" t="inlineStr">
        <is>
          <t>Dielectric</t>
        </is>
      </c>
      <c r="F214" s="15" t="inlineStr">
        <is>
          <t>TBD</t>
        </is>
      </c>
    </row>
    <row r="215">
      <c r="A215" s="14" t="n">
        <v>30</v>
      </c>
      <c r="B215" s="14" t="inlineStr">
        <is>
          <t>C8</t>
        </is>
      </c>
      <c r="C215" s="14" t="inlineStr">
        <is>
          <t>10u</t>
        </is>
      </c>
      <c r="D215" s="14" t="inlineStr">
        <is>
          <t>C</t>
        </is>
      </c>
      <c r="E215" s="14" t="inlineStr">
        <is>
          <t>EffectiveCapacitance</t>
        </is>
      </c>
      <c r="F215" s="15" t="inlineStr">
        <is>
          <t>TBD</t>
        </is>
      </c>
    </row>
    <row r="216">
      <c r="A216" s="14" t="n">
        <v>31</v>
      </c>
      <c r="B216" s="14" t="inlineStr">
        <is>
          <t>C12, C13</t>
        </is>
      </c>
      <c r="C216" s="14" t="inlineStr">
        <is>
          <t>10u</t>
        </is>
      </c>
      <c r="D216" s="14" t="inlineStr">
        <is>
          <t>C</t>
        </is>
      </c>
      <c r="E216" s="14" t="inlineStr">
        <is>
          <t>Tolerance</t>
        </is>
      </c>
      <c r="F216" s="15" t="inlineStr">
        <is>
          <t>TBD</t>
        </is>
      </c>
    </row>
    <row r="217">
      <c r="A217" s="14" t="n">
        <v>31</v>
      </c>
      <c r="B217" s="14" t="inlineStr">
        <is>
          <t>C12, C13</t>
        </is>
      </c>
      <c r="C217" s="14" t="inlineStr">
        <is>
          <t>10u</t>
        </is>
      </c>
      <c r="D217" s="14" t="inlineStr">
        <is>
          <t>C</t>
        </is>
      </c>
      <c r="E217" s="14" t="inlineStr">
        <is>
          <t>VoltageRating</t>
        </is>
      </c>
      <c r="F217" s="14" t="inlineStr">
        <is>
          <t>50V</t>
        </is>
      </c>
    </row>
    <row r="218">
      <c r="A218" s="14" t="n">
        <v>31</v>
      </c>
      <c r="B218" s="14" t="inlineStr">
        <is>
          <t>C12, C13</t>
        </is>
      </c>
      <c r="C218" s="14" t="inlineStr">
        <is>
          <t>10u</t>
        </is>
      </c>
      <c r="D218" s="14" t="inlineStr">
        <is>
          <t>C</t>
        </is>
      </c>
      <c r="E218" s="14" t="inlineStr">
        <is>
          <t>Dielectric</t>
        </is>
      </c>
      <c r="F218" s="14" t="inlineStr">
        <is>
          <t>X7R</t>
        </is>
      </c>
    </row>
    <row r="219">
      <c r="A219" s="14" t="n">
        <v>31</v>
      </c>
      <c r="B219" s="14" t="inlineStr">
        <is>
          <t>C12, C13</t>
        </is>
      </c>
      <c r="C219" s="14" t="inlineStr">
        <is>
          <t>10u</t>
        </is>
      </c>
      <c r="D219" s="14" t="inlineStr">
        <is>
          <t>C</t>
        </is>
      </c>
      <c r="E219" s="14" t="inlineStr">
        <is>
          <t>EffectiveCapacitance</t>
        </is>
      </c>
      <c r="F219" s="15" t="inlineStr">
        <is>
          <t>TBD</t>
        </is>
      </c>
    </row>
    <row r="220">
      <c r="A220" s="14" t="n">
        <v>32</v>
      </c>
      <c r="B220" s="14" t="inlineStr">
        <is>
          <t>C25, C27, C28</t>
        </is>
      </c>
      <c r="C220" s="14" t="inlineStr">
        <is>
          <t>10u</t>
        </is>
      </c>
      <c r="D220" s="14" t="inlineStr">
        <is>
          <t>C</t>
        </is>
      </c>
      <c r="E220" s="14" t="inlineStr">
        <is>
          <t>Tolerance</t>
        </is>
      </c>
      <c r="F220" s="15" t="inlineStr">
        <is>
          <t>TBD</t>
        </is>
      </c>
    </row>
    <row r="221">
      <c r="A221" s="14" t="n">
        <v>32</v>
      </c>
      <c r="B221" s="14" t="inlineStr">
        <is>
          <t>C25, C27, C28</t>
        </is>
      </c>
      <c r="C221" s="14" t="inlineStr">
        <is>
          <t>10u</t>
        </is>
      </c>
      <c r="D221" s="14" t="inlineStr">
        <is>
          <t>C</t>
        </is>
      </c>
      <c r="E221" s="14" t="inlineStr">
        <is>
          <t>VoltageRating</t>
        </is>
      </c>
      <c r="F221" s="14" t="inlineStr">
        <is>
          <t>50V</t>
        </is>
      </c>
    </row>
    <row r="222">
      <c r="A222" s="14" t="n">
        <v>32</v>
      </c>
      <c r="B222" s="14" t="inlineStr">
        <is>
          <t>C25, C27, C28</t>
        </is>
      </c>
      <c r="C222" s="14" t="inlineStr">
        <is>
          <t>10u</t>
        </is>
      </c>
      <c r="D222" s="14" t="inlineStr">
        <is>
          <t>C</t>
        </is>
      </c>
      <c r="E222" s="14" t="inlineStr">
        <is>
          <t>Dielectric</t>
        </is>
      </c>
      <c r="F222" s="15" t="inlineStr">
        <is>
          <t>TBD</t>
        </is>
      </c>
    </row>
    <row r="223">
      <c r="A223" s="14" t="n">
        <v>32</v>
      </c>
      <c r="B223" s="14" t="inlineStr">
        <is>
          <t>C25, C27, C28</t>
        </is>
      </c>
      <c r="C223" s="14" t="inlineStr">
        <is>
          <t>10u</t>
        </is>
      </c>
      <c r="D223" s="14" t="inlineStr">
        <is>
          <t>C</t>
        </is>
      </c>
      <c r="E223" s="14" t="inlineStr">
        <is>
          <t>EffectiveCapacitance</t>
        </is>
      </c>
      <c r="F223" s="15" t="inlineStr">
        <is>
          <t>TBD</t>
        </is>
      </c>
    </row>
    <row r="224">
      <c r="A224" s="14" t="n">
        <v>33</v>
      </c>
      <c r="B224" s="14" t="inlineStr">
        <is>
          <t>C19</t>
        </is>
      </c>
      <c r="C224" s="14" t="inlineStr">
        <is>
          <t>18n</t>
        </is>
      </c>
      <c r="D224" s="14" t="inlineStr">
        <is>
          <t>C</t>
        </is>
      </c>
      <c r="E224" s="14" t="inlineStr">
        <is>
          <t>Tolerance</t>
        </is>
      </c>
      <c r="F224" s="15" t="inlineStr">
        <is>
          <t>TBD</t>
        </is>
      </c>
    </row>
    <row r="225">
      <c r="A225" s="14" t="n">
        <v>33</v>
      </c>
      <c r="B225" s="14" t="inlineStr">
        <is>
          <t>C19</t>
        </is>
      </c>
      <c r="C225" s="14" t="inlineStr">
        <is>
          <t>18n</t>
        </is>
      </c>
      <c r="D225" s="14" t="inlineStr">
        <is>
          <t>C</t>
        </is>
      </c>
      <c r="E225" s="14" t="inlineStr">
        <is>
          <t>VoltageRating</t>
        </is>
      </c>
      <c r="F225" s="14" t="inlineStr">
        <is>
          <t>16V</t>
        </is>
      </c>
    </row>
    <row r="226">
      <c r="A226" s="14" t="n">
        <v>33</v>
      </c>
      <c r="B226" s="14" t="inlineStr">
        <is>
          <t>C19</t>
        </is>
      </c>
      <c r="C226" s="14" t="inlineStr">
        <is>
          <t>18n</t>
        </is>
      </c>
      <c r="D226" s="14" t="inlineStr">
        <is>
          <t>C</t>
        </is>
      </c>
      <c r="E226" s="14" t="inlineStr">
        <is>
          <t>Dielectric</t>
        </is>
      </c>
      <c r="F226" s="15" t="inlineStr">
        <is>
          <t>TBD</t>
        </is>
      </c>
    </row>
    <row r="227">
      <c r="A227" s="14" t="n">
        <v>33</v>
      </c>
      <c r="B227" s="14" t="inlineStr">
        <is>
          <t>C19</t>
        </is>
      </c>
      <c r="C227" s="14" t="inlineStr">
        <is>
          <t>18n</t>
        </is>
      </c>
      <c r="D227" s="14" t="inlineStr">
        <is>
          <t>C</t>
        </is>
      </c>
      <c r="E227" s="14" t="inlineStr">
        <is>
          <t>EffectiveCapacitance</t>
        </is>
      </c>
      <c r="F227" s="15" t="inlineStr">
        <is>
          <t>TBD</t>
        </is>
      </c>
    </row>
    <row r="228">
      <c r="A228" s="14" t="n">
        <v>34</v>
      </c>
      <c r="B228" s="14" t="inlineStr">
        <is>
          <t>C4</t>
        </is>
      </c>
      <c r="C228" s="14" t="inlineStr">
        <is>
          <t>1u0</t>
        </is>
      </c>
      <c r="D228" s="14" t="inlineStr">
        <is>
          <t>C</t>
        </is>
      </c>
      <c r="E228" s="14" t="inlineStr">
        <is>
          <t>Tolerance</t>
        </is>
      </c>
      <c r="F228" s="15" t="inlineStr">
        <is>
          <t>TBD</t>
        </is>
      </c>
    </row>
    <row r="229">
      <c r="A229" s="14" t="n">
        <v>34</v>
      </c>
      <c r="B229" s="14" t="inlineStr">
        <is>
          <t>C4</t>
        </is>
      </c>
      <c r="C229" s="14" t="inlineStr">
        <is>
          <t>1u0</t>
        </is>
      </c>
      <c r="D229" s="14" t="inlineStr">
        <is>
          <t>C</t>
        </is>
      </c>
      <c r="E229" s="14" t="inlineStr">
        <is>
          <t>VoltageRating</t>
        </is>
      </c>
      <c r="F229" s="14" t="inlineStr">
        <is>
          <t>10V</t>
        </is>
      </c>
    </row>
    <row r="230">
      <c r="A230" s="14" t="n">
        <v>34</v>
      </c>
      <c r="B230" s="14" t="inlineStr">
        <is>
          <t>C4</t>
        </is>
      </c>
      <c r="C230" s="14" t="inlineStr">
        <is>
          <t>1u0</t>
        </is>
      </c>
      <c r="D230" s="14" t="inlineStr">
        <is>
          <t>C</t>
        </is>
      </c>
      <c r="E230" s="14" t="inlineStr">
        <is>
          <t>Dielectric</t>
        </is>
      </c>
      <c r="F230" s="15" t="inlineStr">
        <is>
          <t>TBD</t>
        </is>
      </c>
    </row>
    <row r="231">
      <c r="A231" s="14" t="n">
        <v>34</v>
      </c>
      <c r="B231" s="14" t="inlineStr">
        <is>
          <t>C4</t>
        </is>
      </c>
      <c r="C231" s="14" t="inlineStr">
        <is>
          <t>1u0</t>
        </is>
      </c>
      <c r="D231" s="14" t="inlineStr">
        <is>
          <t>C</t>
        </is>
      </c>
      <c r="E231" s="14" t="inlineStr">
        <is>
          <t>EffectiveCapacitance</t>
        </is>
      </c>
      <c r="F231" s="15" t="inlineStr">
        <is>
          <t>TBD</t>
        </is>
      </c>
    </row>
    <row r="232">
      <c r="A232" s="14" t="n">
        <v>35</v>
      </c>
      <c r="B232" s="14" t="inlineStr">
        <is>
          <t>C7</t>
        </is>
      </c>
      <c r="C232" s="14" t="inlineStr">
        <is>
          <t>1u0</t>
        </is>
      </c>
      <c r="D232" s="14" t="inlineStr">
        <is>
          <t>C</t>
        </is>
      </c>
      <c r="E232" s="14" t="inlineStr">
        <is>
          <t>Tolerance</t>
        </is>
      </c>
      <c r="F232" s="15" t="inlineStr">
        <is>
          <t>TBD</t>
        </is>
      </c>
    </row>
    <row r="233">
      <c r="A233" s="14" t="n">
        <v>35</v>
      </c>
      <c r="B233" s="14" t="inlineStr">
        <is>
          <t>C7</t>
        </is>
      </c>
      <c r="C233" s="14" t="inlineStr">
        <is>
          <t>1u0</t>
        </is>
      </c>
      <c r="D233" s="14" t="inlineStr">
        <is>
          <t>C</t>
        </is>
      </c>
      <c r="E233" s="14" t="inlineStr">
        <is>
          <t>VoltageRating</t>
        </is>
      </c>
      <c r="F233" s="15" t="inlineStr">
        <is>
          <t>TBD</t>
        </is>
      </c>
    </row>
    <row r="234">
      <c r="A234" s="14" t="n">
        <v>35</v>
      </c>
      <c r="B234" s="14" t="inlineStr">
        <is>
          <t>C7</t>
        </is>
      </c>
      <c r="C234" s="14" t="inlineStr">
        <is>
          <t>1u0</t>
        </is>
      </c>
      <c r="D234" s="14" t="inlineStr">
        <is>
          <t>C</t>
        </is>
      </c>
      <c r="E234" s="14" t="inlineStr">
        <is>
          <t>Dielectric</t>
        </is>
      </c>
      <c r="F234" s="15" t="inlineStr">
        <is>
          <t>TBD</t>
        </is>
      </c>
    </row>
    <row r="235">
      <c r="A235" s="14" t="n">
        <v>35</v>
      </c>
      <c r="B235" s="14" t="inlineStr">
        <is>
          <t>C7</t>
        </is>
      </c>
      <c r="C235" s="14" t="inlineStr">
        <is>
          <t>1u0</t>
        </is>
      </c>
      <c r="D235" s="14" t="inlineStr">
        <is>
          <t>C</t>
        </is>
      </c>
      <c r="E235" s="14" t="inlineStr">
        <is>
          <t>EffectiveCapacitance</t>
        </is>
      </c>
      <c r="F235" s="15" t="inlineStr">
        <is>
          <t>TBD</t>
        </is>
      </c>
    </row>
    <row r="236">
      <c r="A236" s="14" t="n">
        <v>36</v>
      </c>
      <c r="B236" s="14" t="inlineStr">
        <is>
          <t>C31</t>
        </is>
      </c>
      <c r="C236" s="14" t="inlineStr">
        <is>
          <t>220n</t>
        </is>
      </c>
      <c r="D236" s="14" t="inlineStr">
        <is>
          <t>C</t>
        </is>
      </c>
      <c r="E236" s="14" t="inlineStr">
        <is>
          <t>Tolerance</t>
        </is>
      </c>
      <c r="F236" s="15" t="inlineStr">
        <is>
          <t>TBD</t>
        </is>
      </c>
    </row>
    <row r="237">
      <c r="A237" s="14" t="n">
        <v>36</v>
      </c>
      <c r="B237" s="14" t="inlineStr">
        <is>
          <t>C31</t>
        </is>
      </c>
      <c r="C237" s="14" t="inlineStr">
        <is>
          <t>220n</t>
        </is>
      </c>
      <c r="D237" s="14" t="inlineStr">
        <is>
          <t>C</t>
        </is>
      </c>
      <c r="E237" s="14" t="inlineStr">
        <is>
          <t>VoltageRating</t>
        </is>
      </c>
      <c r="F237" s="14" t="inlineStr">
        <is>
          <t>25V</t>
        </is>
      </c>
    </row>
    <row r="238">
      <c r="A238" s="14" t="n">
        <v>36</v>
      </c>
      <c r="B238" s="14" t="inlineStr">
        <is>
          <t>C31</t>
        </is>
      </c>
      <c r="C238" s="14" t="inlineStr">
        <is>
          <t>220n</t>
        </is>
      </c>
      <c r="D238" s="14" t="inlineStr">
        <is>
          <t>C</t>
        </is>
      </c>
      <c r="E238" s="14" t="inlineStr">
        <is>
          <t>Dielectric</t>
        </is>
      </c>
      <c r="F238" s="15" t="inlineStr">
        <is>
          <t>TBD</t>
        </is>
      </c>
    </row>
    <row r="239">
      <c r="A239" s="14" t="n">
        <v>36</v>
      </c>
      <c r="B239" s="14" t="inlineStr">
        <is>
          <t>C31</t>
        </is>
      </c>
      <c r="C239" s="14" t="inlineStr">
        <is>
          <t>220n</t>
        </is>
      </c>
      <c r="D239" s="14" t="inlineStr">
        <is>
          <t>C</t>
        </is>
      </c>
      <c r="E239" s="14" t="inlineStr">
        <is>
          <t>EffectiveCapacitance</t>
        </is>
      </c>
      <c r="F239" s="15" t="inlineStr">
        <is>
          <t>TBD</t>
        </is>
      </c>
    </row>
    <row r="240">
      <c r="A240" s="14" t="n">
        <v>37</v>
      </c>
      <c r="B240" s="14" t="inlineStr">
        <is>
          <t>C30</t>
        </is>
      </c>
      <c r="C240" s="14" t="inlineStr">
        <is>
          <t>22n</t>
        </is>
      </c>
      <c r="D240" s="14" t="inlineStr">
        <is>
          <t>C</t>
        </is>
      </c>
      <c r="E240" s="14" t="inlineStr">
        <is>
          <t>Tolerance</t>
        </is>
      </c>
      <c r="F240" s="15" t="inlineStr">
        <is>
          <t>TBD</t>
        </is>
      </c>
    </row>
    <row r="241">
      <c r="A241" s="14" t="n">
        <v>37</v>
      </c>
      <c r="B241" s="14" t="inlineStr">
        <is>
          <t>C30</t>
        </is>
      </c>
      <c r="C241" s="14" t="inlineStr">
        <is>
          <t>22n</t>
        </is>
      </c>
      <c r="D241" s="14" t="inlineStr">
        <is>
          <t>C</t>
        </is>
      </c>
      <c r="E241" s="14" t="inlineStr">
        <is>
          <t>VoltageRating</t>
        </is>
      </c>
      <c r="F241" s="14" t="inlineStr">
        <is>
          <t>50V</t>
        </is>
      </c>
    </row>
    <row r="242">
      <c r="A242" s="14" t="n">
        <v>37</v>
      </c>
      <c r="B242" s="14" t="inlineStr">
        <is>
          <t>C30</t>
        </is>
      </c>
      <c r="C242" s="14" t="inlineStr">
        <is>
          <t>22n</t>
        </is>
      </c>
      <c r="D242" s="14" t="inlineStr">
        <is>
          <t>C</t>
        </is>
      </c>
      <c r="E242" s="14" t="inlineStr">
        <is>
          <t>Dielectric</t>
        </is>
      </c>
      <c r="F242" s="15" t="inlineStr">
        <is>
          <t>TBD</t>
        </is>
      </c>
    </row>
    <row r="243">
      <c r="A243" s="14" t="n">
        <v>37</v>
      </c>
      <c r="B243" s="14" t="inlineStr">
        <is>
          <t>C30</t>
        </is>
      </c>
      <c r="C243" s="14" t="inlineStr">
        <is>
          <t>22n</t>
        </is>
      </c>
      <c r="D243" s="14" t="inlineStr">
        <is>
          <t>C</t>
        </is>
      </c>
      <c r="E243" s="14" t="inlineStr">
        <is>
          <t>EffectiveCapacitance</t>
        </is>
      </c>
      <c r="F243" s="15" t="inlineStr">
        <is>
          <t>TBD</t>
        </is>
      </c>
    </row>
    <row r="244">
      <c r="A244" s="14" t="n">
        <v>38</v>
      </c>
      <c r="B244" s="14" t="inlineStr">
        <is>
          <t>C5</t>
        </is>
      </c>
      <c r="C244" s="14" t="inlineStr">
        <is>
          <t>22u</t>
        </is>
      </c>
      <c r="D244" s="14" t="inlineStr">
        <is>
          <t>C</t>
        </is>
      </c>
      <c r="E244" s="14" t="inlineStr">
        <is>
          <t>Tolerance</t>
        </is>
      </c>
      <c r="F244" s="15" t="inlineStr">
        <is>
          <t>TBD</t>
        </is>
      </c>
    </row>
    <row r="245">
      <c r="A245" s="14" t="n">
        <v>38</v>
      </c>
      <c r="B245" s="14" t="inlineStr">
        <is>
          <t>C5</t>
        </is>
      </c>
      <c r="C245" s="14" t="inlineStr">
        <is>
          <t>22u</t>
        </is>
      </c>
      <c r="D245" s="14" t="inlineStr">
        <is>
          <t>C</t>
        </is>
      </c>
      <c r="E245" s="14" t="inlineStr">
        <is>
          <t>VoltageRating</t>
        </is>
      </c>
      <c r="F245" s="15" t="inlineStr">
        <is>
          <t>TBD</t>
        </is>
      </c>
    </row>
    <row r="246">
      <c r="A246" s="14" t="n">
        <v>38</v>
      </c>
      <c r="B246" s="14" t="inlineStr">
        <is>
          <t>C5</t>
        </is>
      </c>
      <c r="C246" s="14" t="inlineStr">
        <is>
          <t>22u</t>
        </is>
      </c>
      <c r="D246" s="14" t="inlineStr">
        <is>
          <t>C</t>
        </is>
      </c>
      <c r="E246" s="14" t="inlineStr">
        <is>
          <t>Dielectric</t>
        </is>
      </c>
      <c r="F246" s="15" t="inlineStr">
        <is>
          <t>TBD</t>
        </is>
      </c>
    </row>
    <row r="247">
      <c r="A247" s="14" t="n">
        <v>38</v>
      </c>
      <c r="B247" s="14" t="inlineStr">
        <is>
          <t>C5</t>
        </is>
      </c>
      <c r="C247" s="14" t="inlineStr">
        <is>
          <t>22u</t>
        </is>
      </c>
      <c r="D247" s="14" t="inlineStr">
        <is>
          <t>C</t>
        </is>
      </c>
      <c r="E247" s="14" t="inlineStr">
        <is>
          <t>EffectiveCapacitance</t>
        </is>
      </c>
      <c r="F247" s="15" t="inlineStr">
        <is>
          <t>TBD</t>
        </is>
      </c>
    </row>
    <row r="248">
      <c r="A248" s="14" t="n">
        <v>39</v>
      </c>
      <c r="B248" s="14" t="inlineStr">
        <is>
          <t>C20, C21</t>
        </is>
      </c>
      <c r="C248" s="14" t="inlineStr">
        <is>
          <t>22u</t>
        </is>
      </c>
      <c r="D248" s="14" t="inlineStr">
        <is>
          <t>C</t>
        </is>
      </c>
      <c r="E248" s="14" t="inlineStr">
        <is>
          <t>Tolerance</t>
        </is>
      </c>
      <c r="F248" s="15" t="inlineStr">
        <is>
          <t>TBD</t>
        </is>
      </c>
    </row>
    <row r="249">
      <c r="A249" s="14" t="n">
        <v>39</v>
      </c>
      <c r="B249" s="14" t="inlineStr">
        <is>
          <t>C20, C21</t>
        </is>
      </c>
      <c r="C249" s="14" t="inlineStr">
        <is>
          <t>22u</t>
        </is>
      </c>
      <c r="D249" s="14" t="inlineStr">
        <is>
          <t>C</t>
        </is>
      </c>
      <c r="E249" s="14" t="inlineStr">
        <is>
          <t>VoltageRating</t>
        </is>
      </c>
      <c r="F249" s="14" t="inlineStr">
        <is>
          <t>50V</t>
        </is>
      </c>
    </row>
    <row r="250">
      <c r="A250" s="14" t="n">
        <v>39</v>
      </c>
      <c r="B250" s="14" t="inlineStr">
        <is>
          <t>C20, C21</t>
        </is>
      </c>
      <c r="C250" s="14" t="inlineStr">
        <is>
          <t>22u</t>
        </is>
      </c>
      <c r="D250" s="14" t="inlineStr">
        <is>
          <t>C</t>
        </is>
      </c>
      <c r="E250" s="14" t="inlineStr">
        <is>
          <t>Dielectric</t>
        </is>
      </c>
      <c r="F250" s="14" t="inlineStr">
        <is>
          <t>X7R</t>
        </is>
      </c>
    </row>
    <row r="251">
      <c r="A251" s="14" t="n">
        <v>39</v>
      </c>
      <c r="B251" s="14" t="inlineStr">
        <is>
          <t>C20, C21</t>
        </is>
      </c>
      <c r="C251" s="14" t="inlineStr">
        <is>
          <t>22u</t>
        </is>
      </c>
      <c r="D251" s="14" t="inlineStr">
        <is>
          <t>C</t>
        </is>
      </c>
      <c r="E251" s="14" t="inlineStr">
        <is>
          <t>EffectiveCapacitance</t>
        </is>
      </c>
      <c r="F251" s="14" t="inlineStr">
        <is>
          <t>&gt;=10uF at 3.3V | 4uF..30uF at 4.3V</t>
        </is>
      </c>
    </row>
    <row r="252">
      <c r="A252" s="14" t="n">
        <v>40</v>
      </c>
      <c r="B252" s="14" t="inlineStr">
        <is>
          <t>C3</t>
        </is>
      </c>
      <c r="C252" s="14" t="inlineStr">
        <is>
          <t>2u2</t>
        </is>
      </c>
      <c r="D252" s="14" t="inlineStr">
        <is>
          <t>C</t>
        </is>
      </c>
      <c r="E252" s="14" t="inlineStr">
        <is>
          <t>Tolerance</t>
        </is>
      </c>
      <c r="F252" s="15" t="inlineStr">
        <is>
          <t>TBD</t>
        </is>
      </c>
    </row>
    <row r="253">
      <c r="A253" s="14" t="n">
        <v>40</v>
      </c>
      <c r="B253" s="14" t="inlineStr">
        <is>
          <t>C3</t>
        </is>
      </c>
      <c r="C253" s="14" t="inlineStr">
        <is>
          <t>2u2</t>
        </is>
      </c>
      <c r="D253" s="14" t="inlineStr">
        <is>
          <t>C</t>
        </is>
      </c>
      <c r="E253" s="14" t="inlineStr">
        <is>
          <t>VoltageRating</t>
        </is>
      </c>
      <c r="F253" s="14" t="inlineStr">
        <is>
          <t>50V</t>
        </is>
      </c>
    </row>
    <row r="254">
      <c r="A254" s="14" t="n">
        <v>40</v>
      </c>
      <c r="B254" s="14" t="inlineStr">
        <is>
          <t>C3</t>
        </is>
      </c>
      <c r="C254" s="14" t="inlineStr">
        <is>
          <t>2u2</t>
        </is>
      </c>
      <c r="D254" s="14" t="inlineStr">
        <is>
          <t>C</t>
        </is>
      </c>
      <c r="E254" s="14" t="inlineStr">
        <is>
          <t>Dielectric</t>
        </is>
      </c>
      <c r="F254" s="14" t="inlineStr">
        <is>
          <t>X7R</t>
        </is>
      </c>
    </row>
    <row r="255">
      <c r="A255" s="14" t="n">
        <v>40</v>
      </c>
      <c r="B255" s="14" t="inlineStr">
        <is>
          <t>C3</t>
        </is>
      </c>
      <c r="C255" s="14" t="inlineStr">
        <is>
          <t>2u2</t>
        </is>
      </c>
      <c r="D255" s="14" t="inlineStr">
        <is>
          <t>C</t>
        </is>
      </c>
      <c r="E255" s="14" t="inlineStr">
        <is>
          <t>EffectiveCapacitance</t>
        </is>
      </c>
      <c r="F255" s="15" t="inlineStr">
        <is>
          <t>TBD</t>
        </is>
      </c>
    </row>
    <row r="256">
      <c r="A256" s="14" t="n">
        <v>41</v>
      </c>
      <c r="B256" s="14" t="inlineStr">
        <is>
          <t>C23</t>
        </is>
      </c>
      <c r="C256" s="14" t="inlineStr">
        <is>
          <t>47n</t>
        </is>
      </c>
      <c r="D256" s="14" t="inlineStr">
        <is>
          <t>C</t>
        </is>
      </c>
      <c r="E256" s="14" t="inlineStr">
        <is>
          <t>Tolerance</t>
        </is>
      </c>
      <c r="F256" s="15" t="inlineStr">
        <is>
          <t>TBD</t>
        </is>
      </c>
    </row>
    <row r="257">
      <c r="A257" s="14" t="n">
        <v>41</v>
      </c>
      <c r="B257" s="14" t="inlineStr">
        <is>
          <t>C23</t>
        </is>
      </c>
      <c r="C257" s="14" t="inlineStr">
        <is>
          <t>47n</t>
        </is>
      </c>
      <c r="D257" s="14" t="inlineStr">
        <is>
          <t>C</t>
        </is>
      </c>
      <c r="E257" s="14" t="inlineStr">
        <is>
          <t>VoltageRating</t>
        </is>
      </c>
      <c r="F257" s="15" t="inlineStr">
        <is>
          <t>TBD</t>
        </is>
      </c>
    </row>
    <row r="258">
      <c r="A258" s="14" t="n">
        <v>41</v>
      </c>
      <c r="B258" s="14" t="inlineStr">
        <is>
          <t>C23</t>
        </is>
      </c>
      <c r="C258" s="14" t="inlineStr">
        <is>
          <t>47n</t>
        </is>
      </c>
      <c r="D258" s="14" t="inlineStr">
        <is>
          <t>C</t>
        </is>
      </c>
      <c r="E258" s="14" t="inlineStr">
        <is>
          <t>Dielectric</t>
        </is>
      </c>
      <c r="F258" s="15" t="inlineStr">
        <is>
          <t>TBD</t>
        </is>
      </c>
    </row>
    <row r="259">
      <c r="A259" s="14" t="n">
        <v>41</v>
      </c>
      <c r="B259" s="14" t="inlineStr">
        <is>
          <t>C23</t>
        </is>
      </c>
      <c r="C259" s="14" t="inlineStr">
        <is>
          <t>47n</t>
        </is>
      </c>
      <c r="D259" s="14" t="inlineStr">
        <is>
          <t>C</t>
        </is>
      </c>
      <c r="E259" s="14" t="inlineStr">
        <is>
          <t>EffectiveCapacitance</t>
        </is>
      </c>
      <c r="F259" s="15" t="inlineStr">
        <is>
          <t>TBD</t>
        </is>
      </c>
    </row>
    <row r="260">
      <c r="A260" s="14" t="n">
        <v>42</v>
      </c>
      <c r="B260" s="14" t="inlineStr">
        <is>
          <t>C15</t>
        </is>
      </c>
      <c r="C260" s="14" t="inlineStr">
        <is>
          <t>47u</t>
        </is>
      </c>
      <c r="D260" s="14" t="inlineStr">
        <is>
          <t>C</t>
        </is>
      </c>
      <c r="E260" s="14" t="inlineStr">
        <is>
          <t>Tolerance</t>
        </is>
      </c>
      <c r="F260" s="15" t="inlineStr">
        <is>
          <t>TBD</t>
        </is>
      </c>
    </row>
    <row r="261">
      <c r="A261" s="14" t="n">
        <v>42</v>
      </c>
      <c r="B261" s="14" t="inlineStr">
        <is>
          <t>C15</t>
        </is>
      </c>
      <c r="C261" s="14" t="inlineStr">
        <is>
          <t>47u</t>
        </is>
      </c>
      <c r="D261" s="14" t="inlineStr">
        <is>
          <t>C</t>
        </is>
      </c>
      <c r="E261" s="14" t="inlineStr">
        <is>
          <t>VoltageRating</t>
        </is>
      </c>
      <c r="F261" s="14" t="inlineStr">
        <is>
          <t>10V</t>
        </is>
      </c>
    </row>
    <row r="262">
      <c r="A262" s="14" t="n">
        <v>42</v>
      </c>
      <c r="B262" s="14" t="inlineStr">
        <is>
          <t>C15</t>
        </is>
      </c>
      <c r="C262" s="14" t="inlineStr">
        <is>
          <t>47u</t>
        </is>
      </c>
      <c r="D262" s="14" t="inlineStr">
        <is>
          <t>C</t>
        </is>
      </c>
      <c r="E262" s="14" t="inlineStr">
        <is>
          <t>Dielectric</t>
        </is>
      </c>
      <c r="F262" s="14" t="inlineStr">
        <is>
          <t>X7R</t>
        </is>
      </c>
    </row>
    <row r="263">
      <c r="A263" s="14" t="n">
        <v>42</v>
      </c>
      <c r="B263" s="14" t="inlineStr">
        <is>
          <t>C15</t>
        </is>
      </c>
      <c r="C263" s="14" t="inlineStr">
        <is>
          <t>47u</t>
        </is>
      </c>
      <c r="D263" s="14" t="inlineStr">
        <is>
          <t>C</t>
        </is>
      </c>
      <c r="E263" s="14" t="inlineStr">
        <is>
          <t>EffectiveCapacitance</t>
        </is>
      </c>
      <c r="F263" s="15" t="inlineStr">
        <is>
          <t>TBD</t>
        </is>
      </c>
    </row>
    <row r="264">
      <c r="A264" s="14" t="n">
        <v>43</v>
      </c>
      <c r="B264" s="14" t="inlineStr">
        <is>
          <t>C16</t>
        </is>
      </c>
      <c r="C264" s="14" t="inlineStr">
        <is>
          <t>47u</t>
        </is>
      </c>
      <c r="D264" s="14" t="inlineStr">
        <is>
          <t>C</t>
        </is>
      </c>
      <c r="E264" s="14" t="inlineStr">
        <is>
          <t>Tolerance</t>
        </is>
      </c>
      <c r="F264" s="15" t="inlineStr">
        <is>
          <t>TBD</t>
        </is>
      </c>
    </row>
    <row r="265">
      <c r="A265" s="14" t="n">
        <v>43</v>
      </c>
      <c r="B265" s="14" t="inlineStr">
        <is>
          <t>C16</t>
        </is>
      </c>
      <c r="C265" s="14" t="inlineStr">
        <is>
          <t>47u</t>
        </is>
      </c>
      <c r="D265" s="14" t="inlineStr">
        <is>
          <t>C</t>
        </is>
      </c>
      <c r="E265" s="14" t="inlineStr">
        <is>
          <t>VoltageRating</t>
        </is>
      </c>
      <c r="F265" s="14" t="inlineStr">
        <is>
          <t>10V</t>
        </is>
      </c>
    </row>
    <row r="266">
      <c r="A266" s="14" t="n">
        <v>43</v>
      </c>
      <c r="B266" s="14" t="inlineStr">
        <is>
          <t>C16</t>
        </is>
      </c>
      <c r="C266" s="14" t="inlineStr">
        <is>
          <t>47u</t>
        </is>
      </c>
      <c r="D266" s="14" t="inlineStr">
        <is>
          <t>C</t>
        </is>
      </c>
      <c r="E266" s="14" t="inlineStr">
        <is>
          <t>Dielectric</t>
        </is>
      </c>
      <c r="F266" s="14" t="inlineStr">
        <is>
          <t>X7R</t>
        </is>
      </c>
    </row>
    <row r="267">
      <c r="A267" s="14" t="n">
        <v>43</v>
      </c>
      <c r="B267" s="14" t="inlineStr">
        <is>
          <t>C16</t>
        </is>
      </c>
      <c r="C267" s="14" t="inlineStr">
        <is>
          <t>47u</t>
        </is>
      </c>
      <c r="D267" s="14" t="inlineStr">
        <is>
          <t>C</t>
        </is>
      </c>
      <c r="E267" s="14" t="inlineStr">
        <is>
          <t>EffectiveCapacitance</t>
        </is>
      </c>
      <c r="F267" s="15" t="inlineStr">
        <is>
          <t>TBD</t>
        </is>
      </c>
    </row>
    <row r="268">
      <c r="A268" s="14" t="n">
        <v>44</v>
      </c>
      <c r="B268" s="14" t="inlineStr">
        <is>
          <t>C29</t>
        </is>
      </c>
      <c r="C268" s="14" t="inlineStr">
        <is>
          <t>47u</t>
        </is>
      </c>
      <c r="D268" s="14" t="inlineStr">
        <is>
          <t>C</t>
        </is>
      </c>
      <c r="E268" s="14" t="inlineStr">
        <is>
          <t>Tolerance</t>
        </is>
      </c>
      <c r="F268" s="15" t="inlineStr">
        <is>
          <t>TBD</t>
        </is>
      </c>
    </row>
    <row r="269">
      <c r="A269" s="14" t="n">
        <v>44</v>
      </c>
      <c r="B269" s="14" t="inlineStr">
        <is>
          <t>C29</t>
        </is>
      </c>
      <c r="C269" s="14" t="inlineStr">
        <is>
          <t>47u</t>
        </is>
      </c>
      <c r="D269" s="14" t="inlineStr">
        <is>
          <t>C</t>
        </is>
      </c>
      <c r="E269" s="14" t="inlineStr">
        <is>
          <t>VoltageRating</t>
        </is>
      </c>
      <c r="F269" s="14" t="inlineStr">
        <is>
          <t>50V</t>
        </is>
      </c>
    </row>
    <row r="270">
      <c r="A270" s="14" t="n">
        <v>44</v>
      </c>
      <c r="B270" s="14" t="inlineStr">
        <is>
          <t>C29</t>
        </is>
      </c>
      <c r="C270" s="14" t="inlineStr">
        <is>
          <t>47u</t>
        </is>
      </c>
      <c r="D270" s="14" t="inlineStr">
        <is>
          <t>C</t>
        </is>
      </c>
      <c r="E270" s="14" t="inlineStr">
        <is>
          <t>Dielectric</t>
        </is>
      </c>
      <c r="F270" s="15" t="inlineStr">
        <is>
          <t>TBD</t>
        </is>
      </c>
    </row>
    <row r="271">
      <c r="A271" s="14" t="n">
        <v>44</v>
      </c>
      <c r="B271" s="14" t="inlineStr">
        <is>
          <t>C29</t>
        </is>
      </c>
      <c r="C271" s="14" t="inlineStr">
        <is>
          <t>47u</t>
        </is>
      </c>
      <c r="D271" s="14" t="inlineStr">
        <is>
          <t>C</t>
        </is>
      </c>
      <c r="E271" s="14" t="inlineStr">
        <is>
          <t>EffectiveCapacitance</t>
        </is>
      </c>
      <c r="F271" s="15" t="inlineStr">
        <is>
          <t>TBD</t>
        </is>
      </c>
    </row>
    <row r="272">
      <c r="A272" s="14" t="n">
        <v>45</v>
      </c>
      <c r="B272" s="14" t="inlineStr">
        <is>
          <t>R13, R28</t>
        </is>
      </c>
      <c r="C272" s="14" t="inlineStr">
        <is>
          <t>100R</t>
        </is>
      </c>
      <c r="D272" s="14" t="inlineStr">
        <is>
          <t>R</t>
        </is>
      </c>
      <c r="E272" s="14" t="inlineStr">
        <is>
          <t>Tolerance</t>
        </is>
      </c>
      <c r="F272" s="15" t="inlineStr">
        <is>
          <t>TBD</t>
        </is>
      </c>
    </row>
    <row r="273">
      <c r="A273" s="14" t="n">
        <v>45</v>
      </c>
      <c r="B273" s="14" t="inlineStr">
        <is>
          <t>R13, R28</t>
        </is>
      </c>
      <c r="C273" s="14" t="inlineStr">
        <is>
          <t>100R</t>
        </is>
      </c>
      <c r="D273" s="14" t="inlineStr">
        <is>
          <t>R</t>
        </is>
      </c>
      <c r="E273" s="14" t="inlineStr">
        <is>
          <t>PowerRating</t>
        </is>
      </c>
      <c r="F273" s="15" t="inlineStr">
        <is>
          <t>TBD</t>
        </is>
      </c>
    </row>
    <row r="274">
      <c r="A274" s="14" t="n">
        <v>45</v>
      </c>
      <c r="B274" s="14" t="inlineStr">
        <is>
          <t>R13, R28</t>
        </is>
      </c>
      <c r="C274" s="14" t="inlineStr">
        <is>
          <t>100R</t>
        </is>
      </c>
      <c r="D274" s="14" t="inlineStr">
        <is>
          <t>R</t>
        </is>
      </c>
      <c r="E274" s="14" t="inlineStr">
        <is>
          <t>VoltageRating</t>
        </is>
      </c>
      <c r="F274" s="15" t="inlineStr">
        <is>
          <t>TBD</t>
        </is>
      </c>
    </row>
    <row r="275">
      <c r="A275" s="14" t="n">
        <v>45</v>
      </c>
      <c r="B275" s="14" t="inlineStr">
        <is>
          <t>R13, R28</t>
        </is>
      </c>
      <c r="C275" s="14" t="inlineStr">
        <is>
          <t>100R</t>
        </is>
      </c>
      <c r="D275" s="14" t="inlineStr">
        <is>
          <t>R</t>
        </is>
      </c>
      <c r="E275" s="14" t="inlineStr">
        <is>
          <t>TempCoefficient</t>
        </is>
      </c>
      <c r="F275" s="15" t="inlineStr">
        <is>
          <t>TBD</t>
        </is>
      </c>
    </row>
    <row r="276">
      <c r="A276" s="14" t="n">
        <v>45</v>
      </c>
      <c r="B276" s="14" t="inlineStr">
        <is>
          <t>R13, R28</t>
        </is>
      </c>
      <c r="C276" s="14" t="inlineStr">
        <is>
          <t>100R</t>
        </is>
      </c>
      <c r="D276" s="14" t="inlineStr">
        <is>
          <t>R</t>
        </is>
      </c>
      <c r="E276" s="14" t="inlineStr">
        <is>
          <t>Composition</t>
        </is>
      </c>
      <c r="F276" s="15" t="inlineStr">
        <is>
          <t>TBD</t>
        </is>
      </c>
    </row>
    <row r="277">
      <c r="A277" s="14" t="n">
        <v>46</v>
      </c>
      <c r="B277" s="14" t="inlineStr">
        <is>
          <t>R38</t>
        </is>
      </c>
      <c r="C277" s="14" t="inlineStr">
        <is>
          <t>100k</t>
        </is>
      </c>
      <c r="D277" s="14" t="inlineStr">
        <is>
          <t>R</t>
        </is>
      </c>
      <c r="E277" s="14" t="inlineStr">
        <is>
          <t>Tolerance</t>
        </is>
      </c>
      <c r="F277" s="14" t="inlineStr">
        <is>
          <t>+/-1%</t>
        </is>
      </c>
    </row>
    <row r="278">
      <c r="A278" s="14" t="n">
        <v>46</v>
      </c>
      <c r="B278" s="14" t="inlineStr">
        <is>
          <t>R38</t>
        </is>
      </c>
      <c r="C278" s="14" t="inlineStr">
        <is>
          <t>100k</t>
        </is>
      </c>
      <c r="D278" s="14" t="inlineStr">
        <is>
          <t>R</t>
        </is>
      </c>
      <c r="E278" s="14" t="inlineStr">
        <is>
          <t>PowerRating</t>
        </is>
      </c>
      <c r="F278" s="15" t="inlineStr">
        <is>
          <t>TBD</t>
        </is>
      </c>
    </row>
    <row r="279">
      <c r="A279" s="14" t="n">
        <v>46</v>
      </c>
      <c r="B279" s="14" t="inlineStr">
        <is>
          <t>R38</t>
        </is>
      </c>
      <c r="C279" s="14" t="inlineStr">
        <is>
          <t>100k</t>
        </is>
      </c>
      <c r="D279" s="14" t="inlineStr">
        <is>
          <t>R</t>
        </is>
      </c>
      <c r="E279" s="14" t="inlineStr">
        <is>
          <t>VoltageRating</t>
        </is>
      </c>
      <c r="F279" s="15" t="inlineStr">
        <is>
          <t>TBD</t>
        </is>
      </c>
    </row>
    <row r="280">
      <c r="A280" s="14" t="n">
        <v>46</v>
      </c>
      <c r="B280" s="14" t="inlineStr">
        <is>
          <t>R38</t>
        </is>
      </c>
      <c r="C280" s="14" t="inlineStr">
        <is>
          <t>100k</t>
        </is>
      </c>
      <c r="D280" s="14" t="inlineStr">
        <is>
          <t>R</t>
        </is>
      </c>
      <c r="E280" s="14" t="inlineStr">
        <is>
          <t>TempCoefficient</t>
        </is>
      </c>
      <c r="F280" s="15" t="inlineStr">
        <is>
          <t>TBD</t>
        </is>
      </c>
    </row>
    <row r="281">
      <c r="A281" s="14" t="n">
        <v>46</v>
      </c>
      <c r="B281" s="14" t="inlineStr">
        <is>
          <t>R38</t>
        </is>
      </c>
      <c r="C281" s="14" t="inlineStr">
        <is>
          <t>100k</t>
        </is>
      </c>
      <c r="D281" s="14" t="inlineStr">
        <is>
          <t>R</t>
        </is>
      </c>
      <c r="E281" s="14" t="inlineStr">
        <is>
          <t>Composition</t>
        </is>
      </c>
      <c r="F281" s="15" t="inlineStr">
        <is>
          <t>TBD</t>
        </is>
      </c>
    </row>
    <row r="282">
      <c r="A282" s="14" t="n">
        <v>47</v>
      </c>
      <c r="B282" s="14" t="inlineStr">
        <is>
          <t>R21</t>
        </is>
      </c>
      <c r="C282" s="14" t="inlineStr">
        <is>
          <t>100k</t>
        </is>
      </c>
      <c r="D282" s="14" t="inlineStr">
        <is>
          <t>R</t>
        </is>
      </c>
      <c r="E282" s="14" t="inlineStr">
        <is>
          <t>Tolerance</t>
        </is>
      </c>
      <c r="F282" s="15" t="inlineStr">
        <is>
          <t>TBD</t>
        </is>
      </c>
    </row>
    <row r="283">
      <c r="A283" s="14" t="n">
        <v>47</v>
      </c>
      <c r="B283" s="14" t="inlineStr">
        <is>
          <t>R21</t>
        </is>
      </c>
      <c r="C283" s="14" t="inlineStr">
        <is>
          <t>100k</t>
        </is>
      </c>
      <c r="D283" s="14" t="inlineStr">
        <is>
          <t>R</t>
        </is>
      </c>
      <c r="E283" s="14" t="inlineStr">
        <is>
          <t>PowerRating</t>
        </is>
      </c>
      <c r="F283" s="15" t="inlineStr">
        <is>
          <t>TBD</t>
        </is>
      </c>
    </row>
    <row r="284">
      <c r="A284" s="14" t="n">
        <v>47</v>
      </c>
      <c r="B284" s="14" t="inlineStr">
        <is>
          <t>R21</t>
        </is>
      </c>
      <c r="C284" s="14" t="inlineStr">
        <is>
          <t>100k</t>
        </is>
      </c>
      <c r="D284" s="14" t="inlineStr">
        <is>
          <t>R</t>
        </is>
      </c>
      <c r="E284" s="14" t="inlineStr">
        <is>
          <t>VoltageRating</t>
        </is>
      </c>
      <c r="F284" s="15" t="inlineStr">
        <is>
          <t>TBD</t>
        </is>
      </c>
    </row>
    <row r="285">
      <c r="A285" s="14" t="n">
        <v>47</v>
      </c>
      <c r="B285" s="14" t="inlineStr">
        <is>
          <t>R21</t>
        </is>
      </c>
      <c r="C285" s="14" t="inlineStr">
        <is>
          <t>100k</t>
        </is>
      </c>
      <c r="D285" s="14" t="inlineStr">
        <is>
          <t>R</t>
        </is>
      </c>
      <c r="E285" s="14" t="inlineStr">
        <is>
          <t>TempCoefficient</t>
        </is>
      </c>
      <c r="F285" s="15" t="inlineStr">
        <is>
          <t>TBD</t>
        </is>
      </c>
    </row>
    <row r="286">
      <c r="A286" s="14" t="n">
        <v>47</v>
      </c>
      <c r="B286" s="14" t="inlineStr">
        <is>
          <t>R21</t>
        </is>
      </c>
      <c r="C286" s="14" t="inlineStr">
        <is>
          <t>100k</t>
        </is>
      </c>
      <c r="D286" s="14" t="inlineStr">
        <is>
          <t>R</t>
        </is>
      </c>
      <c r="E286" s="14" t="inlineStr">
        <is>
          <t>Composition</t>
        </is>
      </c>
      <c r="F286" s="15" t="inlineStr">
        <is>
          <t>TBD</t>
        </is>
      </c>
    </row>
    <row r="287">
      <c r="A287" s="14" t="n">
        <v>48</v>
      </c>
      <c r="B287" s="14" t="inlineStr">
        <is>
          <t>R29, R42, R53, R58</t>
        </is>
      </c>
      <c r="C287" s="14" t="inlineStr">
        <is>
          <t>100k</t>
        </is>
      </c>
      <c r="D287" s="14" t="inlineStr">
        <is>
          <t>R</t>
        </is>
      </c>
      <c r="E287" s="14" t="inlineStr">
        <is>
          <t>Tolerance</t>
        </is>
      </c>
      <c r="F287" s="15" t="inlineStr">
        <is>
          <t>TBD</t>
        </is>
      </c>
    </row>
    <row r="288">
      <c r="A288" s="14" t="n">
        <v>48</v>
      </c>
      <c r="B288" s="14" t="inlineStr">
        <is>
          <t>R29, R42, R53, R58</t>
        </is>
      </c>
      <c r="C288" s="14" t="inlineStr">
        <is>
          <t>100k</t>
        </is>
      </c>
      <c r="D288" s="14" t="inlineStr">
        <is>
          <t>R</t>
        </is>
      </c>
      <c r="E288" s="14" t="inlineStr">
        <is>
          <t>PowerRating</t>
        </is>
      </c>
      <c r="F288" s="15" t="inlineStr">
        <is>
          <t>TBD</t>
        </is>
      </c>
    </row>
    <row r="289">
      <c r="A289" s="14" t="n">
        <v>48</v>
      </c>
      <c r="B289" s="14" t="inlineStr">
        <is>
          <t>R29, R42, R53, R58</t>
        </is>
      </c>
      <c r="C289" s="14" t="inlineStr">
        <is>
          <t>100k</t>
        </is>
      </c>
      <c r="D289" s="14" t="inlineStr">
        <is>
          <t>R</t>
        </is>
      </c>
      <c r="E289" s="14" t="inlineStr">
        <is>
          <t>VoltageRating</t>
        </is>
      </c>
      <c r="F289" s="15" t="inlineStr">
        <is>
          <t>TBD</t>
        </is>
      </c>
    </row>
    <row r="290">
      <c r="A290" s="14" t="n">
        <v>48</v>
      </c>
      <c r="B290" s="14" t="inlineStr">
        <is>
          <t>R29, R42, R53, R58</t>
        </is>
      </c>
      <c r="C290" s="14" t="inlineStr">
        <is>
          <t>100k</t>
        </is>
      </c>
      <c r="D290" s="14" t="inlineStr">
        <is>
          <t>R</t>
        </is>
      </c>
      <c r="E290" s="14" t="inlineStr">
        <is>
          <t>TempCoefficient</t>
        </is>
      </c>
      <c r="F290" s="15" t="inlineStr">
        <is>
          <t>TBD</t>
        </is>
      </c>
    </row>
    <row r="291">
      <c r="A291" s="14" t="n">
        <v>48</v>
      </c>
      <c r="B291" s="14" t="inlineStr">
        <is>
          <t>R29, R42, R53, R58</t>
        </is>
      </c>
      <c r="C291" s="14" t="inlineStr">
        <is>
          <t>100k</t>
        </is>
      </c>
      <c r="D291" s="14" t="inlineStr">
        <is>
          <t>R</t>
        </is>
      </c>
      <c r="E291" s="14" t="inlineStr">
        <is>
          <t>Composition</t>
        </is>
      </c>
      <c r="F291" s="15" t="inlineStr">
        <is>
          <t>TBD</t>
        </is>
      </c>
    </row>
    <row r="292">
      <c r="A292" s="14" t="n">
        <v>49</v>
      </c>
      <c r="B292" s="14" t="inlineStr">
        <is>
          <t>R45</t>
        </is>
      </c>
      <c r="C292" s="14" t="inlineStr">
        <is>
          <t>100k</t>
        </is>
      </c>
      <c r="D292" s="14" t="inlineStr">
        <is>
          <t>R</t>
        </is>
      </c>
      <c r="E292" s="14" t="inlineStr">
        <is>
          <t>Tolerance</t>
        </is>
      </c>
      <c r="F292" s="14" t="inlineStr">
        <is>
          <t>+/-0.1%</t>
        </is>
      </c>
    </row>
    <row r="293">
      <c r="A293" s="14" t="n">
        <v>49</v>
      </c>
      <c r="B293" s="14" t="inlineStr">
        <is>
          <t>R45</t>
        </is>
      </c>
      <c r="C293" s="14" t="inlineStr">
        <is>
          <t>100k</t>
        </is>
      </c>
      <c r="D293" s="14" t="inlineStr">
        <is>
          <t>R</t>
        </is>
      </c>
      <c r="E293" s="14" t="inlineStr">
        <is>
          <t>PowerRating</t>
        </is>
      </c>
      <c r="F293" s="15" t="inlineStr">
        <is>
          <t>TBD</t>
        </is>
      </c>
    </row>
    <row r="294">
      <c r="A294" s="14" t="n">
        <v>49</v>
      </c>
      <c r="B294" s="14" t="inlineStr">
        <is>
          <t>R45</t>
        </is>
      </c>
      <c r="C294" s="14" t="inlineStr">
        <is>
          <t>100k</t>
        </is>
      </c>
      <c r="D294" s="14" t="inlineStr">
        <is>
          <t>R</t>
        </is>
      </c>
      <c r="E294" s="14" t="inlineStr">
        <is>
          <t>VoltageRating</t>
        </is>
      </c>
      <c r="F294" s="15" t="inlineStr">
        <is>
          <t>TBD</t>
        </is>
      </c>
    </row>
    <row r="295">
      <c r="A295" s="14" t="n">
        <v>49</v>
      </c>
      <c r="B295" s="14" t="inlineStr">
        <is>
          <t>R45</t>
        </is>
      </c>
      <c r="C295" s="14" t="inlineStr">
        <is>
          <t>100k</t>
        </is>
      </c>
      <c r="D295" s="14" t="inlineStr">
        <is>
          <t>R</t>
        </is>
      </c>
      <c r="E295" s="14" t="inlineStr">
        <is>
          <t>TempCoefficient</t>
        </is>
      </c>
      <c r="F295" s="15" t="inlineStr">
        <is>
          <t>TBD</t>
        </is>
      </c>
    </row>
    <row r="296">
      <c r="A296" s="14" t="n">
        <v>49</v>
      </c>
      <c r="B296" s="14" t="inlineStr">
        <is>
          <t>R45</t>
        </is>
      </c>
      <c r="C296" s="14" t="inlineStr">
        <is>
          <t>100k</t>
        </is>
      </c>
      <c r="D296" s="14" t="inlineStr">
        <is>
          <t>R</t>
        </is>
      </c>
      <c r="E296" s="14" t="inlineStr">
        <is>
          <t>Composition</t>
        </is>
      </c>
      <c r="F296" s="15" t="inlineStr">
        <is>
          <t>TBD</t>
        </is>
      </c>
    </row>
    <row r="297">
      <c r="A297" s="14" t="n">
        <v>50</v>
      </c>
      <c r="B297" s="14" t="inlineStr">
        <is>
          <t>R39</t>
        </is>
      </c>
      <c r="C297" s="14" t="inlineStr">
        <is>
          <t>10k</t>
        </is>
      </c>
      <c r="D297" s="14" t="inlineStr">
        <is>
          <t>R</t>
        </is>
      </c>
      <c r="E297" s="14" t="inlineStr">
        <is>
          <t>Tolerance</t>
        </is>
      </c>
      <c r="F297" s="14" t="inlineStr">
        <is>
          <t>+/-0.1%</t>
        </is>
      </c>
    </row>
    <row r="298">
      <c r="A298" s="14" t="n">
        <v>50</v>
      </c>
      <c r="B298" s="14" t="inlineStr">
        <is>
          <t>R39</t>
        </is>
      </c>
      <c r="C298" s="14" t="inlineStr">
        <is>
          <t>10k</t>
        </is>
      </c>
      <c r="D298" s="14" t="inlineStr">
        <is>
          <t>R</t>
        </is>
      </c>
      <c r="E298" s="14" t="inlineStr">
        <is>
          <t>PowerRating</t>
        </is>
      </c>
      <c r="F298" s="15" t="inlineStr">
        <is>
          <t>TBD</t>
        </is>
      </c>
    </row>
    <row r="299">
      <c r="A299" s="14" t="n">
        <v>50</v>
      </c>
      <c r="B299" s="14" t="inlineStr">
        <is>
          <t>R39</t>
        </is>
      </c>
      <c r="C299" s="14" t="inlineStr">
        <is>
          <t>10k</t>
        </is>
      </c>
      <c r="D299" s="14" t="inlineStr">
        <is>
          <t>R</t>
        </is>
      </c>
      <c r="E299" s="14" t="inlineStr">
        <is>
          <t>VoltageRating</t>
        </is>
      </c>
      <c r="F299" s="15" t="inlineStr">
        <is>
          <t>TBD</t>
        </is>
      </c>
    </row>
    <row r="300">
      <c r="A300" s="14" t="n">
        <v>50</v>
      </c>
      <c r="B300" s="14" t="inlineStr">
        <is>
          <t>R39</t>
        </is>
      </c>
      <c r="C300" s="14" t="inlineStr">
        <is>
          <t>10k</t>
        </is>
      </c>
      <c r="D300" s="14" t="inlineStr">
        <is>
          <t>R</t>
        </is>
      </c>
      <c r="E300" s="14" t="inlineStr">
        <is>
          <t>TempCoefficient</t>
        </is>
      </c>
      <c r="F300" s="15" t="inlineStr">
        <is>
          <t>TBD</t>
        </is>
      </c>
    </row>
    <row r="301">
      <c r="A301" s="14" t="n">
        <v>50</v>
      </c>
      <c r="B301" s="14" t="inlineStr">
        <is>
          <t>R39</t>
        </is>
      </c>
      <c r="C301" s="14" t="inlineStr">
        <is>
          <t>10k</t>
        </is>
      </c>
      <c r="D301" s="14" t="inlineStr">
        <is>
          <t>R</t>
        </is>
      </c>
      <c r="E301" s="14" t="inlineStr">
        <is>
          <t>Composition</t>
        </is>
      </c>
      <c r="F301" s="15" t="inlineStr">
        <is>
          <t>TBD</t>
        </is>
      </c>
    </row>
    <row r="302">
      <c r="A302" s="14" t="n">
        <v>51</v>
      </c>
      <c r="B302" s="14" t="inlineStr">
        <is>
          <t>R1, R10, R23, R27, R34, R35, R36, R37, R56, R57</t>
        </is>
      </c>
      <c r="C302" s="14" t="inlineStr">
        <is>
          <t>10k</t>
        </is>
      </c>
      <c r="D302" s="14" t="inlineStr">
        <is>
          <t>R</t>
        </is>
      </c>
      <c r="E302" s="14" t="inlineStr">
        <is>
          <t>Tolerance</t>
        </is>
      </c>
      <c r="F302" s="15" t="inlineStr">
        <is>
          <t>TBD</t>
        </is>
      </c>
    </row>
    <row r="303">
      <c r="A303" s="14" t="n">
        <v>51</v>
      </c>
      <c r="B303" s="14" t="inlineStr">
        <is>
          <t>R1, R10, R23, R27, R34, R35, R36, R37, R56, R57</t>
        </is>
      </c>
      <c r="C303" s="14" t="inlineStr">
        <is>
          <t>10k</t>
        </is>
      </c>
      <c r="D303" s="14" t="inlineStr">
        <is>
          <t>R</t>
        </is>
      </c>
      <c r="E303" s="14" t="inlineStr">
        <is>
          <t>PowerRating</t>
        </is>
      </c>
      <c r="F303" s="15" t="inlineStr">
        <is>
          <t>TBD</t>
        </is>
      </c>
    </row>
    <row r="304">
      <c r="A304" s="14" t="n">
        <v>51</v>
      </c>
      <c r="B304" s="14" t="inlineStr">
        <is>
          <t>R1, R10, R23, R27, R34, R35, R36, R37, R56, R57</t>
        </is>
      </c>
      <c r="C304" s="14" t="inlineStr">
        <is>
          <t>10k</t>
        </is>
      </c>
      <c r="D304" s="14" t="inlineStr">
        <is>
          <t>R</t>
        </is>
      </c>
      <c r="E304" s="14" t="inlineStr">
        <is>
          <t>VoltageRating</t>
        </is>
      </c>
      <c r="F304" s="15" t="inlineStr">
        <is>
          <t>TBD</t>
        </is>
      </c>
    </row>
    <row r="305">
      <c r="A305" s="14" t="n">
        <v>51</v>
      </c>
      <c r="B305" s="14" t="inlineStr">
        <is>
          <t>R1, R10, R23, R27, R34, R35, R36, R37, R56, R57</t>
        </is>
      </c>
      <c r="C305" s="14" t="inlineStr">
        <is>
          <t>10k</t>
        </is>
      </c>
      <c r="D305" s="14" t="inlineStr">
        <is>
          <t>R</t>
        </is>
      </c>
      <c r="E305" s="14" t="inlineStr">
        <is>
          <t>TempCoefficient</t>
        </is>
      </c>
      <c r="F305" s="15" t="inlineStr">
        <is>
          <t>TBD</t>
        </is>
      </c>
    </row>
    <row r="306">
      <c r="A306" s="14" t="n">
        <v>51</v>
      </c>
      <c r="B306" s="14" t="inlineStr">
        <is>
          <t>R1, R10, R23, R27, R34, R35, R36, R37, R56, R57</t>
        </is>
      </c>
      <c r="C306" s="14" t="inlineStr">
        <is>
          <t>10k</t>
        </is>
      </c>
      <c r="D306" s="14" t="inlineStr">
        <is>
          <t>R</t>
        </is>
      </c>
      <c r="E306" s="14" t="inlineStr">
        <is>
          <t>Composition</t>
        </is>
      </c>
      <c r="F306" s="15" t="inlineStr">
        <is>
          <t>TBD</t>
        </is>
      </c>
    </row>
    <row r="307">
      <c r="A307" s="14" t="n">
        <v>52</v>
      </c>
      <c r="B307" s="14" t="inlineStr">
        <is>
          <t>R59</t>
        </is>
      </c>
      <c r="C307" s="14" t="inlineStr">
        <is>
          <t>10k</t>
        </is>
      </c>
      <c r="D307" s="14" t="inlineStr">
        <is>
          <t>R</t>
        </is>
      </c>
      <c r="E307" s="14" t="inlineStr">
        <is>
          <t>Tolerance</t>
        </is>
      </c>
      <c r="F307" s="15" t="inlineStr">
        <is>
          <t>TBD</t>
        </is>
      </c>
    </row>
    <row r="308">
      <c r="A308" s="14" t="n">
        <v>52</v>
      </c>
      <c r="B308" s="14" t="inlineStr">
        <is>
          <t>R59</t>
        </is>
      </c>
      <c r="C308" s="14" t="inlineStr">
        <is>
          <t>10k</t>
        </is>
      </c>
      <c r="D308" s="14" t="inlineStr">
        <is>
          <t>R</t>
        </is>
      </c>
      <c r="E308" s="14" t="inlineStr">
        <is>
          <t>PowerRating</t>
        </is>
      </c>
      <c r="F308" s="14" t="inlineStr">
        <is>
          <t>0.25W</t>
        </is>
      </c>
    </row>
    <row r="309">
      <c r="A309" s="14" t="n">
        <v>52</v>
      </c>
      <c r="B309" s="14" t="inlineStr">
        <is>
          <t>R59</t>
        </is>
      </c>
      <c r="C309" s="14" t="inlineStr">
        <is>
          <t>10k</t>
        </is>
      </c>
      <c r="D309" s="14" t="inlineStr">
        <is>
          <t>R</t>
        </is>
      </c>
      <c r="E309" s="14" t="inlineStr">
        <is>
          <t>VoltageRating</t>
        </is>
      </c>
      <c r="F309" s="15" t="inlineStr">
        <is>
          <t>TBD</t>
        </is>
      </c>
    </row>
    <row r="310">
      <c r="A310" s="14" t="n">
        <v>52</v>
      </c>
      <c r="B310" s="14" t="inlineStr">
        <is>
          <t>R59</t>
        </is>
      </c>
      <c r="C310" s="14" t="inlineStr">
        <is>
          <t>10k</t>
        </is>
      </c>
      <c r="D310" s="14" t="inlineStr">
        <is>
          <t>R</t>
        </is>
      </c>
      <c r="E310" s="14" t="inlineStr">
        <is>
          <t>TempCoefficient</t>
        </is>
      </c>
      <c r="F310" s="15" t="inlineStr">
        <is>
          <t>TBD</t>
        </is>
      </c>
    </row>
    <row r="311">
      <c r="A311" s="14" t="n">
        <v>52</v>
      </c>
      <c r="B311" s="14" t="inlineStr">
        <is>
          <t>R59</t>
        </is>
      </c>
      <c r="C311" s="14" t="inlineStr">
        <is>
          <t>10k</t>
        </is>
      </c>
      <c r="D311" s="14" t="inlineStr">
        <is>
          <t>R</t>
        </is>
      </c>
      <c r="E311" s="14" t="inlineStr">
        <is>
          <t>Composition</t>
        </is>
      </c>
      <c r="F311" s="15" t="inlineStr">
        <is>
          <t>TBD</t>
        </is>
      </c>
    </row>
    <row r="312">
      <c r="A312" s="14" t="n">
        <v>53</v>
      </c>
      <c r="B312" s="14" t="inlineStr">
        <is>
          <t>R8</t>
        </is>
      </c>
      <c r="C312" s="14" t="inlineStr">
        <is>
          <t>12k</t>
        </is>
      </c>
      <c r="D312" s="14" t="inlineStr">
        <is>
          <t>R</t>
        </is>
      </c>
      <c r="E312" s="14" t="inlineStr">
        <is>
          <t>Tolerance</t>
        </is>
      </c>
      <c r="F312" s="15" t="inlineStr">
        <is>
          <t>TBD</t>
        </is>
      </c>
    </row>
    <row r="313">
      <c r="A313" s="14" t="n">
        <v>53</v>
      </c>
      <c r="B313" s="14" t="inlineStr">
        <is>
          <t>R8</t>
        </is>
      </c>
      <c r="C313" s="14" t="inlineStr">
        <is>
          <t>12k</t>
        </is>
      </c>
      <c r="D313" s="14" t="inlineStr">
        <is>
          <t>R</t>
        </is>
      </c>
      <c r="E313" s="14" t="inlineStr">
        <is>
          <t>PowerRating</t>
        </is>
      </c>
      <c r="F313" s="15" t="inlineStr">
        <is>
          <t>TBD</t>
        </is>
      </c>
    </row>
    <row r="314">
      <c r="A314" s="14" t="n">
        <v>53</v>
      </c>
      <c r="B314" s="14" t="inlineStr">
        <is>
          <t>R8</t>
        </is>
      </c>
      <c r="C314" s="14" t="inlineStr">
        <is>
          <t>12k</t>
        </is>
      </c>
      <c r="D314" s="14" t="inlineStr">
        <is>
          <t>R</t>
        </is>
      </c>
      <c r="E314" s="14" t="inlineStr">
        <is>
          <t>VoltageRating</t>
        </is>
      </c>
      <c r="F314" s="15" t="inlineStr">
        <is>
          <t>TBD</t>
        </is>
      </c>
    </row>
    <row r="315">
      <c r="A315" s="14" t="n">
        <v>53</v>
      </c>
      <c r="B315" s="14" t="inlineStr">
        <is>
          <t>R8</t>
        </is>
      </c>
      <c r="C315" s="14" t="inlineStr">
        <is>
          <t>12k</t>
        </is>
      </c>
      <c r="D315" s="14" t="inlineStr">
        <is>
          <t>R</t>
        </is>
      </c>
      <c r="E315" s="14" t="inlineStr">
        <is>
          <t>TempCoefficient</t>
        </is>
      </c>
      <c r="F315" s="15" t="inlineStr">
        <is>
          <t>TBD</t>
        </is>
      </c>
    </row>
    <row r="316">
      <c r="A316" s="14" t="n">
        <v>53</v>
      </c>
      <c r="B316" s="14" t="inlineStr">
        <is>
          <t>R8</t>
        </is>
      </c>
      <c r="C316" s="14" t="inlineStr">
        <is>
          <t>12k</t>
        </is>
      </c>
      <c r="D316" s="14" t="inlineStr">
        <is>
          <t>R</t>
        </is>
      </c>
      <c r="E316" s="14" t="inlineStr">
        <is>
          <t>Composition</t>
        </is>
      </c>
      <c r="F316" s="15" t="inlineStr">
        <is>
          <t>TBD</t>
        </is>
      </c>
    </row>
    <row r="317">
      <c r="A317" s="14" t="n">
        <v>54</v>
      </c>
      <c r="B317" s="14" t="inlineStr">
        <is>
          <t>R41</t>
        </is>
      </c>
      <c r="C317" s="14" t="inlineStr">
        <is>
          <t>12k7</t>
        </is>
      </c>
      <c r="D317" s="14" t="inlineStr">
        <is>
          <t>R</t>
        </is>
      </c>
      <c r="E317" s="14" t="inlineStr">
        <is>
          <t>Tolerance</t>
        </is>
      </c>
      <c r="F317" s="14" t="inlineStr">
        <is>
          <t>+/-1%</t>
        </is>
      </c>
    </row>
    <row r="318">
      <c r="A318" s="14" t="n">
        <v>54</v>
      </c>
      <c r="B318" s="14" t="inlineStr">
        <is>
          <t>R41</t>
        </is>
      </c>
      <c r="C318" s="14" t="inlineStr">
        <is>
          <t>12k7</t>
        </is>
      </c>
      <c r="D318" s="14" t="inlineStr">
        <is>
          <t>R</t>
        </is>
      </c>
      <c r="E318" s="14" t="inlineStr">
        <is>
          <t>PowerRating</t>
        </is>
      </c>
      <c r="F318" s="15" t="inlineStr">
        <is>
          <t>TBD</t>
        </is>
      </c>
    </row>
    <row r="319">
      <c r="A319" s="14" t="n">
        <v>54</v>
      </c>
      <c r="B319" s="14" t="inlineStr">
        <is>
          <t>R41</t>
        </is>
      </c>
      <c r="C319" s="14" t="inlineStr">
        <is>
          <t>12k7</t>
        </is>
      </c>
      <c r="D319" s="14" t="inlineStr">
        <is>
          <t>R</t>
        </is>
      </c>
      <c r="E319" s="14" t="inlineStr">
        <is>
          <t>VoltageRating</t>
        </is>
      </c>
      <c r="F319" s="15" t="inlineStr">
        <is>
          <t>TBD</t>
        </is>
      </c>
    </row>
    <row r="320">
      <c r="A320" s="14" t="n">
        <v>54</v>
      </c>
      <c r="B320" s="14" t="inlineStr">
        <is>
          <t>R41</t>
        </is>
      </c>
      <c r="C320" s="14" t="inlineStr">
        <is>
          <t>12k7</t>
        </is>
      </c>
      <c r="D320" s="14" t="inlineStr">
        <is>
          <t>R</t>
        </is>
      </c>
      <c r="E320" s="14" t="inlineStr">
        <is>
          <t>TempCoefficient</t>
        </is>
      </c>
      <c r="F320" s="15" t="inlineStr">
        <is>
          <t>TBD</t>
        </is>
      </c>
    </row>
    <row r="321">
      <c r="A321" s="14" t="n">
        <v>54</v>
      </c>
      <c r="B321" s="14" t="inlineStr">
        <is>
          <t>R41</t>
        </is>
      </c>
      <c r="C321" s="14" t="inlineStr">
        <is>
          <t>12k7</t>
        </is>
      </c>
      <c r="D321" s="14" t="inlineStr">
        <is>
          <t>R</t>
        </is>
      </c>
      <c r="E321" s="14" t="inlineStr">
        <is>
          <t>Composition</t>
        </is>
      </c>
      <c r="F321" s="15" t="inlineStr">
        <is>
          <t>TBD</t>
        </is>
      </c>
    </row>
    <row r="322">
      <c r="A322" s="14" t="n">
        <v>55</v>
      </c>
      <c r="B322" s="14" t="inlineStr">
        <is>
          <t>R22, R51, R54</t>
        </is>
      </c>
      <c r="C322" s="14" t="inlineStr">
        <is>
          <t>1k0</t>
        </is>
      </c>
      <c r="D322" s="14" t="inlineStr">
        <is>
          <t>R</t>
        </is>
      </c>
      <c r="E322" s="14" t="inlineStr">
        <is>
          <t>Tolerance</t>
        </is>
      </c>
      <c r="F322" s="15" t="inlineStr">
        <is>
          <t>TBD</t>
        </is>
      </c>
    </row>
    <row r="323">
      <c r="A323" s="14" t="n">
        <v>55</v>
      </c>
      <c r="B323" s="14" t="inlineStr">
        <is>
          <t>R22, R51, R54</t>
        </is>
      </c>
      <c r="C323" s="14" t="inlineStr">
        <is>
          <t>1k0</t>
        </is>
      </c>
      <c r="D323" s="14" t="inlineStr">
        <is>
          <t>R</t>
        </is>
      </c>
      <c r="E323" s="14" t="inlineStr">
        <is>
          <t>PowerRating</t>
        </is>
      </c>
      <c r="F323" s="15" t="inlineStr">
        <is>
          <t>TBD</t>
        </is>
      </c>
    </row>
    <row r="324">
      <c r="A324" s="14" t="n">
        <v>55</v>
      </c>
      <c r="B324" s="14" t="inlineStr">
        <is>
          <t>R22, R51, R54</t>
        </is>
      </c>
      <c r="C324" s="14" t="inlineStr">
        <is>
          <t>1k0</t>
        </is>
      </c>
      <c r="D324" s="14" t="inlineStr">
        <is>
          <t>R</t>
        </is>
      </c>
      <c r="E324" s="14" t="inlineStr">
        <is>
          <t>VoltageRating</t>
        </is>
      </c>
      <c r="F324" s="15" t="inlineStr">
        <is>
          <t>TBD</t>
        </is>
      </c>
    </row>
    <row r="325">
      <c r="A325" s="14" t="n">
        <v>55</v>
      </c>
      <c r="B325" s="14" t="inlineStr">
        <is>
          <t>R22, R51, R54</t>
        </is>
      </c>
      <c r="C325" s="14" t="inlineStr">
        <is>
          <t>1k0</t>
        </is>
      </c>
      <c r="D325" s="14" t="inlineStr">
        <is>
          <t>R</t>
        </is>
      </c>
      <c r="E325" s="14" t="inlineStr">
        <is>
          <t>TempCoefficient</t>
        </is>
      </c>
      <c r="F325" s="15" t="inlineStr">
        <is>
          <t>TBD</t>
        </is>
      </c>
    </row>
    <row r="326">
      <c r="A326" s="14" t="n">
        <v>55</v>
      </c>
      <c r="B326" s="14" t="inlineStr">
        <is>
          <t>R22, R51, R54</t>
        </is>
      </c>
      <c r="C326" s="14" t="inlineStr">
        <is>
          <t>1k0</t>
        </is>
      </c>
      <c r="D326" s="14" t="inlineStr">
        <is>
          <t>R</t>
        </is>
      </c>
      <c r="E326" s="14" t="inlineStr">
        <is>
          <t>Composition</t>
        </is>
      </c>
      <c r="F326" s="15" t="inlineStr">
        <is>
          <t>TBD</t>
        </is>
      </c>
    </row>
    <row r="327">
      <c r="A327" s="14" t="n">
        <v>56</v>
      </c>
      <c r="B327" s="14" t="inlineStr">
        <is>
          <t>R43</t>
        </is>
      </c>
      <c r="C327" s="14" t="inlineStr">
        <is>
          <t>1k0</t>
        </is>
      </c>
      <c r="D327" s="14" t="inlineStr">
        <is>
          <t>R</t>
        </is>
      </c>
      <c r="E327" s="14" t="inlineStr">
        <is>
          <t>Tolerance</t>
        </is>
      </c>
      <c r="F327" s="15" t="inlineStr">
        <is>
          <t>TBD</t>
        </is>
      </c>
    </row>
    <row r="328">
      <c r="A328" s="14" t="n">
        <v>56</v>
      </c>
      <c r="B328" s="14" t="inlineStr">
        <is>
          <t>R43</t>
        </is>
      </c>
      <c r="C328" s="14" t="inlineStr">
        <is>
          <t>1k0</t>
        </is>
      </c>
      <c r="D328" s="14" t="inlineStr">
        <is>
          <t>R</t>
        </is>
      </c>
      <c r="E328" s="14" t="inlineStr">
        <is>
          <t>PowerRating</t>
        </is>
      </c>
      <c r="F328" s="14" t="inlineStr">
        <is>
          <t>2W</t>
        </is>
      </c>
    </row>
    <row r="329">
      <c r="A329" s="14" t="n">
        <v>56</v>
      </c>
      <c r="B329" s="14" t="inlineStr">
        <is>
          <t>R43</t>
        </is>
      </c>
      <c r="C329" s="14" t="inlineStr">
        <is>
          <t>1k0</t>
        </is>
      </c>
      <c r="D329" s="14" t="inlineStr">
        <is>
          <t>R</t>
        </is>
      </c>
      <c r="E329" s="14" t="inlineStr">
        <is>
          <t>VoltageRating</t>
        </is>
      </c>
      <c r="F329" s="15" t="inlineStr">
        <is>
          <t>TBD</t>
        </is>
      </c>
    </row>
    <row r="330">
      <c r="A330" s="14" t="n">
        <v>56</v>
      </c>
      <c r="B330" s="14" t="inlineStr">
        <is>
          <t>R43</t>
        </is>
      </c>
      <c r="C330" s="14" t="inlineStr">
        <is>
          <t>1k0</t>
        </is>
      </c>
      <c r="D330" s="14" t="inlineStr">
        <is>
          <t>R</t>
        </is>
      </c>
      <c r="E330" s="14" t="inlineStr">
        <is>
          <t>TempCoefficient</t>
        </is>
      </c>
      <c r="F330" s="15" t="inlineStr">
        <is>
          <t>TBD</t>
        </is>
      </c>
    </row>
    <row r="331">
      <c r="A331" s="14" t="n">
        <v>56</v>
      </c>
      <c r="B331" s="14" t="inlineStr">
        <is>
          <t>R43</t>
        </is>
      </c>
      <c r="C331" s="14" t="inlineStr">
        <is>
          <t>1k0</t>
        </is>
      </c>
      <c r="D331" s="14" t="inlineStr">
        <is>
          <t>R</t>
        </is>
      </c>
      <c r="E331" s="14" t="inlineStr">
        <is>
          <t>Composition</t>
        </is>
      </c>
      <c r="F331" s="15" t="inlineStr">
        <is>
          <t>TBD</t>
        </is>
      </c>
    </row>
    <row r="332">
      <c r="A332" s="14" t="n">
        <v>57</v>
      </c>
      <c r="B332" s="14" t="inlineStr">
        <is>
          <t>R9</t>
        </is>
      </c>
      <c r="C332" s="14" t="inlineStr">
        <is>
          <t>20k</t>
        </is>
      </c>
      <c r="D332" s="14" t="inlineStr">
        <is>
          <t>R</t>
        </is>
      </c>
      <c r="E332" s="14" t="inlineStr">
        <is>
          <t>Tolerance</t>
        </is>
      </c>
      <c r="F332" s="15" t="inlineStr">
        <is>
          <t>TBD</t>
        </is>
      </c>
    </row>
    <row r="333">
      <c r="A333" s="14" t="n">
        <v>57</v>
      </c>
      <c r="B333" s="14" t="inlineStr">
        <is>
          <t>R9</t>
        </is>
      </c>
      <c r="C333" s="14" t="inlineStr">
        <is>
          <t>20k</t>
        </is>
      </c>
      <c r="D333" s="14" t="inlineStr">
        <is>
          <t>R</t>
        </is>
      </c>
      <c r="E333" s="14" t="inlineStr">
        <is>
          <t>PowerRating</t>
        </is>
      </c>
      <c r="F333" s="15" t="inlineStr">
        <is>
          <t>TBD</t>
        </is>
      </c>
    </row>
    <row r="334">
      <c r="A334" s="14" t="n">
        <v>57</v>
      </c>
      <c r="B334" s="14" t="inlineStr">
        <is>
          <t>R9</t>
        </is>
      </c>
      <c r="C334" s="14" t="inlineStr">
        <is>
          <t>20k</t>
        </is>
      </c>
      <c r="D334" s="14" t="inlineStr">
        <is>
          <t>R</t>
        </is>
      </c>
      <c r="E334" s="14" t="inlineStr">
        <is>
          <t>VoltageRating</t>
        </is>
      </c>
      <c r="F334" s="15" t="inlineStr">
        <is>
          <t>TBD</t>
        </is>
      </c>
    </row>
    <row r="335">
      <c r="A335" s="14" t="n">
        <v>57</v>
      </c>
      <c r="B335" s="14" t="inlineStr">
        <is>
          <t>R9</t>
        </is>
      </c>
      <c r="C335" s="14" t="inlineStr">
        <is>
          <t>20k</t>
        </is>
      </c>
      <c r="D335" s="14" t="inlineStr">
        <is>
          <t>R</t>
        </is>
      </c>
      <c r="E335" s="14" t="inlineStr">
        <is>
          <t>TempCoefficient</t>
        </is>
      </c>
      <c r="F335" s="15" t="inlineStr">
        <is>
          <t>TBD</t>
        </is>
      </c>
    </row>
    <row r="336">
      <c r="A336" s="14" t="n">
        <v>57</v>
      </c>
      <c r="B336" s="14" t="inlineStr">
        <is>
          <t>R9</t>
        </is>
      </c>
      <c r="C336" s="14" t="inlineStr">
        <is>
          <t>20k</t>
        </is>
      </c>
      <c r="D336" s="14" t="inlineStr">
        <is>
          <t>R</t>
        </is>
      </c>
      <c r="E336" s="14" t="inlineStr">
        <is>
          <t>Composition</t>
        </is>
      </c>
      <c r="F336" s="15" t="inlineStr">
        <is>
          <t>TBD</t>
        </is>
      </c>
    </row>
    <row r="337">
      <c r="A337" s="14" t="n">
        <v>58</v>
      </c>
      <c r="B337" s="14" t="inlineStr">
        <is>
          <t>R2, R3, R15, R16</t>
        </is>
      </c>
      <c r="C337" s="14" t="inlineStr">
        <is>
          <t>22R</t>
        </is>
      </c>
      <c r="D337" s="14" t="inlineStr">
        <is>
          <t>R</t>
        </is>
      </c>
      <c r="E337" s="14" t="inlineStr">
        <is>
          <t>Tolerance</t>
        </is>
      </c>
      <c r="F337" s="15" t="inlineStr">
        <is>
          <t>TBD</t>
        </is>
      </c>
    </row>
    <row r="338">
      <c r="A338" s="14" t="n">
        <v>58</v>
      </c>
      <c r="B338" s="14" t="inlineStr">
        <is>
          <t>R2, R3, R15, R16</t>
        </is>
      </c>
      <c r="C338" s="14" t="inlineStr">
        <is>
          <t>22R</t>
        </is>
      </c>
      <c r="D338" s="14" t="inlineStr">
        <is>
          <t>R</t>
        </is>
      </c>
      <c r="E338" s="14" t="inlineStr">
        <is>
          <t>PowerRating</t>
        </is>
      </c>
      <c r="F338" s="15" t="inlineStr">
        <is>
          <t>TBD</t>
        </is>
      </c>
    </row>
    <row r="339">
      <c r="A339" s="14" t="n">
        <v>58</v>
      </c>
      <c r="B339" s="14" t="inlineStr">
        <is>
          <t>R2, R3, R15, R16</t>
        </is>
      </c>
      <c r="C339" s="14" t="inlineStr">
        <is>
          <t>22R</t>
        </is>
      </c>
      <c r="D339" s="14" t="inlineStr">
        <is>
          <t>R</t>
        </is>
      </c>
      <c r="E339" s="14" t="inlineStr">
        <is>
          <t>VoltageRating</t>
        </is>
      </c>
      <c r="F339" s="15" t="inlineStr">
        <is>
          <t>TBD</t>
        </is>
      </c>
    </row>
    <row r="340">
      <c r="A340" s="14" t="n">
        <v>58</v>
      </c>
      <c r="B340" s="14" t="inlineStr">
        <is>
          <t>R2, R3, R15, R16</t>
        </is>
      </c>
      <c r="C340" s="14" t="inlineStr">
        <is>
          <t>22R</t>
        </is>
      </c>
      <c r="D340" s="14" t="inlineStr">
        <is>
          <t>R</t>
        </is>
      </c>
      <c r="E340" s="14" t="inlineStr">
        <is>
          <t>TempCoefficient</t>
        </is>
      </c>
      <c r="F340" s="15" t="inlineStr">
        <is>
          <t>TBD</t>
        </is>
      </c>
    </row>
    <row r="341">
      <c r="A341" s="14" t="n">
        <v>58</v>
      </c>
      <c r="B341" s="14" t="inlineStr">
        <is>
          <t>R2, R3, R15, R16</t>
        </is>
      </c>
      <c r="C341" s="14" t="inlineStr">
        <is>
          <t>22R</t>
        </is>
      </c>
      <c r="D341" s="14" t="inlineStr">
        <is>
          <t>R</t>
        </is>
      </c>
      <c r="E341" s="14" t="inlineStr">
        <is>
          <t>Composition</t>
        </is>
      </c>
      <c r="F341" s="15" t="inlineStr">
        <is>
          <t>TBD</t>
        </is>
      </c>
    </row>
    <row r="342">
      <c r="A342" s="14" t="n">
        <v>59</v>
      </c>
      <c r="B342" s="14" t="inlineStr">
        <is>
          <t>R55</t>
        </is>
      </c>
      <c r="C342" s="14" t="inlineStr">
        <is>
          <t>232k</t>
        </is>
      </c>
      <c r="D342" s="14" t="inlineStr">
        <is>
          <t>R</t>
        </is>
      </c>
      <c r="E342" s="14" t="inlineStr">
        <is>
          <t>Tolerance</t>
        </is>
      </c>
      <c r="F342" s="15" t="inlineStr">
        <is>
          <t>TBD</t>
        </is>
      </c>
    </row>
    <row r="343">
      <c r="A343" s="14" t="n">
        <v>59</v>
      </c>
      <c r="B343" s="14" t="inlineStr">
        <is>
          <t>R55</t>
        </is>
      </c>
      <c r="C343" s="14" t="inlineStr">
        <is>
          <t>232k</t>
        </is>
      </c>
      <c r="D343" s="14" t="inlineStr">
        <is>
          <t>R</t>
        </is>
      </c>
      <c r="E343" s="14" t="inlineStr">
        <is>
          <t>PowerRating</t>
        </is>
      </c>
      <c r="F343" s="15" t="inlineStr">
        <is>
          <t>TBD</t>
        </is>
      </c>
    </row>
    <row r="344">
      <c r="A344" s="14" t="n">
        <v>59</v>
      </c>
      <c r="B344" s="14" t="inlineStr">
        <is>
          <t>R55</t>
        </is>
      </c>
      <c r="C344" s="14" t="inlineStr">
        <is>
          <t>232k</t>
        </is>
      </c>
      <c r="D344" s="14" t="inlineStr">
        <is>
          <t>R</t>
        </is>
      </c>
      <c r="E344" s="14" t="inlineStr">
        <is>
          <t>VoltageRating</t>
        </is>
      </c>
      <c r="F344" s="15" t="inlineStr">
        <is>
          <t>TBD</t>
        </is>
      </c>
    </row>
    <row r="345">
      <c r="A345" s="14" t="n">
        <v>59</v>
      </c>
      <c r="B345" s="14" t="inlineStr">
        <is>
          <t>R55</t>
        </is>
      </c>
      <c r="C345" s="14" t="inlineStr">
        <is>
          <t>232k</t>
        </is>
      </c>
      <c r="D345" s="14" t="inlineStr">
        <is>
          <t>R</t>
        </is>
      </c>
      <c r="E345" s="14" t="inlineStr">
        <is>
          <t>TempCoefficient</t>
        </is>
      </c>
      <c r="F345" s="15" t="inlineStr">
        <is>
          <t>TBD</t>
        </is>
      </c>
    </row>
    <row r="346">
      <c r="A346" s="14" t="n">
        <v>59</v>
      </c>
      <c r="B346" s="14" t="inlineStr">
        <is>
          <t>R55</t>
        </is>
      </c>
      <c r="C346" s="14" t="inlineStr">
        <is>
          <t>232k</t>
        </is>
      </c>
      <c r="D346" s="14" t="inlineStr">
        <is>
          <t>R</t>
        </is>
      </c>
      <c r="E346" s="14" t="inlineStr">
        <is>
          <t>Composition</t>
        </is>
      </c>
      <c r="F346" s="15" t="inlineStr">
        <is>
          <t>TBD</t>
        </is>
      </c>
    </row>
    <row r="347">
      <c r="A347" s="14" t="n">
        <v>60</v>
      </c>
      <c r="B347" s="14" t="inlineStr">
        <is>
          <t>R52</t>
        </is>
      </c>
      <c r="C347" s="14" t="inlineStr">
        <is>
          <t>2k0</t>
        </is>
      </c>
      <c r="D347" s="14" t="inlineStr">
        <is>
          <t>R</t>
        </is>
      </c>
      <c r="E347" s="14" t="inlineStr">
        <is>
          <t>Tolerance</t>
        </is>
      </c>
      <c r="F347" s="15" t="inlineStr">
        <is>
          <t>TBD</t>
        </is>
      </c>
    </row>
    <row r="348">
      <c r="A348" s="14" t="n">
        <v>60</v>
      </c>
      <c r="B348" s="14" t="inlineStr">
        <is>
          <t>R52</t>
        </is>
      </c>
      <c r="C348" s="14" t="inlineStr">
        <is>
          <t>2k0</t>
        </is>
      </c>
      <c r="D348" s="14" t="inlineStr">
        <is>
          <t>R</t>
        </is>
      </c>
      <c r="E348" s="14" t="inlineStr">
        <is>
          <t>PowerRating</t>
        </is>
      </c>
      <c r="F348" s="15" t="inlineStr">
        <is>
          <t>TBD</t>
        </is>
      </c>
    </row>
    <row r="349">
      <c r="A349" s="14" t="n">
        <v>60</v>
      </c>
      <c r="B349" s="14" t="inlineStr">
        <is>
          <t>R52</t>
        </is>
      </c>
      <c r="C349" s="14" t="inlineStr">
        <is>
          <t>2k0</t>
        </is>
      </c>
      <c r="D349" s="14" t="inlineStr">
        <is>
          <t>R</t>
        </is>
      </c>
      <c r="E349" s="14" t="inlineStr">
        <is>
          <t>VoltageRating</t>
        </is>
      </c>
      <c r="F349" s="15" t="inlineStr">
        <is>
          <t>TBD</t>
        </is>
      </c>
    </row>
    <row r="350">
      <c r="A350" s="14" t="n">
        <v>60</v>
      </c>
      <c r="B350" s="14" t="inlineStr">
        <is>
          <t>R52</t>
        </is>
      </c>
      <c r="C350" s="14" t="inlineStr">
        <is>
          <t>2k0</t>
        </is>
      </c>
      <c r="D350" s="14" t="inlineStr">
        <is>
          <t>R</t>
        </is>
      </c>
      <c r="E350" s="14" t="inlineStr">
        <is>
          <t>TempCoefficient</t>
        </is>
      </c>
      <c r="F350" s="15" t="inlineStr">
        <is>
          <t>TBD</t>
        </is>
      </c>
    </row>
    <row r="351">
      <c r="A351" s="14" t="n">
        <v>60</v>
      </c>
      <c r="B351" s="14" t="inlineStr">
        <is>
          <t>R52</t>
        </is>
      </c>
      <c r="C351" s="14" t="inlineStr">
        <is>
          <t>2k0</t>
        </is>
      </c>
      <c r="D351" s="14" t="inlineStr">
        <is>
          <t>R</t>
        </is>
      </c>
      <c r="E351" s="14" t="inlineStr">
        <is>
          <t>Composition</t>
        </is>
      </c>
      <c r="F351" s="15" t="inlineStr">
        <is>
          <t>TBD</t>
        </is>
      </c>
    </row>
    <row r="352">
      <c r="A352" s="14" t="n">
        <v>61</v>
      </c>
      <c r="B352" s="14" t="inlineStr">
        <is>
          <t>R14</t>
        </is>
      </c>
      <c r="C352" s="14" t="inlineStr">
        <is>
          <t>2k2</t>
        </is>
      </c>
      <c r="D352" s="14" t="inlineStr">
        <is>
          <t>R</t>
        </is>
      </c>
      <c r="E352" s="14" t="inlineStr">
        <is>
          <t>Tolerance</t>
        </is>
      </c>
      <c r="F352" s="15" t="inlineStr">
        <is>
          <t>TBD</t>
        </is>
      </c>
    </row>
    <row r="353">
      <c r="A353" s="14" t="n">
        <v>61</v>
      </c>
      <c r="B353" s="14" t="inlineStr">
        <is>
          <t>R14</t>
        </is>
      </c>
      <c r="C353" s="14" t="inlineStr">
        <is>
          <t>2k2</t>
        </is>
      </c>
      <c r="D353" s="14" t="inlineStr">
        <is>
          <t>R</t>
        </is>
      </c>
      <c r="E353" s="14" t="inlineStr">
        <is>
          <t>PowerRating</t>
        </is>
      </c>
      <c r="F353" s="15" t="inlineStr">
        <is>
          <t>TBD</t>
        </is>
      </c>
    </row>
    <row r="354">
      <c r="A354" s="14" t="n">
        <v>61</v>
      </c>
      <c r="B354" s="14" t="inlineStr">
        <is>
          <t>R14</t>
        </is>
      </c>
      <c r="C354" s="14" t="inlineStr">
        <is>
          <t>2k2</t>
        </is>
      </c>
      <c r="D354" s="14" t="inlineStr">
        <is>
          <t>R</t>
        </is>
      </c>
      <c r="E354" s="14" t="inlineStr">
        <is>
          <t>VoltageRating</t>
        </is>
      </c>
      <c r="F354" s="15" t="inlineStr">
        <is>
          <t>TBD</t>
        </is>
      </c>
    </row>
    <row r="355">
      <c r="A355" s="14" t="n">
        <v>61</v>
      </c>
      <c r="B355" s="14" t="inlineStr">
        <is>
          <t>R14</t>
        </is>
      </c>
      <c r="C355" s="14" t="inlineStr">
        <is>
          <t>2k2</t>
        </is>
      </c>
      <c r="D355" s="14" t="inlineStr">
        <is>
          <t>R</t>
        </is>
      </c>
      <c r="E355" s="14" t="inlineStr">
        <is>
          <t>TempCoefficient</t>
        </is>
      </c>
      <c r="F355" s="15" t="inlineStr">
        <is>
          <t>TBD</t>
        </is>
      </c>
    </row>
    <row r="356">
      <c r="A356" s="14" t="n">
        <v>61</v>
      </c>
      <c r="B356" s="14" t="inlineStr">
        <is>
          <t>R14</t>
        </is>
      </c>
      <c r="C356" s="14" t="inlineStr">
        <is>
          <t>2k2</t>
        </is>
      </c>
      <c r="D356" s="14" t="inlineStr">
        <is>
          <t>R</t>
        </is>
      </c>
      <c r="E356" s="14" t="inlineStr">
        <is>
          <t>Composition</t>
        </is>
      </c>
      <c r="F356" s="15" t="inlineStr">
        <is>
          <t>TBD</t>
        </is>
      </c>
    </row>
    <row r="357">
      <c r="A357" s="14" t="n">
        <v>62</v>
      </c>
      <c r="B357" s="14" t="inlineStr">
        <is>
          <t>R48</t>
        </is>
      </c>
      <c r="C357" s="14" t="inlineStr">
        <is>
          <t>30k1</t>
        </is>
      </c>
      <c r="D357" s="14" t="inlineStr">
        <is>
          <t>R</t>
        </is>
      </c>
      <c r="E357" s="14" t="inlineStr">
        <is>
          <t>Tolerance</t>
        </is>
      </c>
      <c r="F357" s="15" t="inlineStr">
        <is>
          <t>TBD</t>
        </is>
      </c>
    </row>
    <row r="358">
      <c r="A358" s="14" t="n">
        <v>62</v>
      </c>
      <c r="B358" s="14" t="inlineStr">
        <is>
          <t>R48</t>
        </is>
      </c>
      <c r="C358" s="14" t="inlineStr">
        <is>
          <t>30k1</t>
        </is>
      </c>
      <c r="D358" s="14" t="inlineStr">
        <is>
          <t>R</t>
        </is>
      </c>
      <c r="E358" s="14" t="inlineStr">
        <is>
          <t>PowerRating</t>
        </is>
      </c>
      <c r="F358" s="15" t="inlineStr">
        <is>
          <t>TBD</t>
        </is>
      </c>
    </row>
    <row r="359">
      <c r="A359" s="14" t="n">
        <v>62</v>
      </c>
      <c r="B359" s="14" t="inlineStr">
        <is>
          <t>R48</t>
        </is>
      </c>
      <c r="C359" s="14" t="inlineStr">
        <is>
          <t>30k1</t>
        </is>
      </c>
      <c r="D359" s="14" t="inlineStr">
        <is>
          <t>R</t>
        </is>
      </c>
      <c r="E359" s="14" t="inlineStr">
        <is>
          <t>VoltageRating</t>
        </is>
      </c>
      <c r="F359" s="15" t="inlineStr">
        <is>
          <t>TBD</t>
        </is>
      </c>
    </row>
    <row r="360">
      <c r="A360" s="14" t="n">
        <v>62</v>
      </c>
      <c r="B360" s="14" t="inlineStr">
        <is>
          <t>R48</t>
        </is>
      </c>
      <c r="C360" s="14" t="inlineStr">
        <is>
          <t>30k1</t>
        </is>
      </c>
      <c r="D360" s="14" t="inlineStr">
        <is>
          <t>R</t>
        </is>
      </c>
      <c r="E360" s="14" t="inlineStr">
        <is>
          <t>TempCoefficient</t>
        </is>
      </c>
      <c r="F360" s="15" t="inlineStr">
        <is>
          <t>TBD</t>
        </is>
      </c>
    </row>
    <row r="361">
      <c r="A361" s="14" t="n">
        <v>62</v>
      </c>
      <c r="B361" s="14" t="inlineStr">
        <is>
          <t>R48</t>
        </is>
      </c>
      <c r="C361" s="14" t="inlineStr">
        <is>
          <t>30k1</t>
        </is>
      </c>
      <c r="D361" s="14" t="inlineStr">
        <is>
          <t>R</t>
        </is>
      </c>
      <c r="E361" s="14" t="inlineStr">
        <is>
          <t>Composition</t>
        </is>
      </c>
      <c r="F361" s="15" t="inlineStr">
        <is>
          <t>TBD</t>
        </is>
      </c>
    </row>
    <row r="362">
      <c r="A362" s="14" t="n">
        <v>63</v>
      </c>
      <c r="B362" s="14" t="inlineStr">
        <is>
          <t>R40</t>
        </is>
      </c>
      <c r="C362" s="14" t="inlineStr">
        <is>
          <t>3k20</t>
        </is>
      </c>
      <c r="D362" s="14" t="inlineStr">
        <is>
          <t>R</t>
        </is>
      </c>
      <c r="E362" s="14" t="inlineStr">
        <is>
          <t>Tolerance</t>
        </is>
      </c>
      <c r="F362" s="14" t="inlineStr">
        <is>
          <t>+/-0.1%</t>
        </is>
      </c>
    </row>
    <row r="363">
      <c r="A363" s="14" t="n">
        <v>63</v>
      </c>
      <c r="B363" s="14" t="inlineStr">
        <is>
          <t>R40</t>
        </is>
      </c>
      <c r="C363" s="14" t="inlineStr">
        <is>
          <t>3k20</t>
        </is>
      </c>
      <c r="D363" s="14" t="inlineStr">
        <is>
          <t>R</t>
        </is>
      </c>
      <c r="E363" s="14" t="inlineStr">
        <is>
          <t>PowerRating</t>
        </is>
      </c>
      <c r="F363" s="15" t="inlineStr">
        <is>
          <t>TBD</t>
        </is>
      </c>
    </row>
    <row r="364">
      <c r="A364" s="14" t="n">
        <v>63</v>
      </c>
      <c r="B364" s="14" t="inlineStr">
        <is>
          <t>R40</t>
        </is>
      </c>
      <c r="C364" s="14" t="inlineStr">
        <is>
          <t>3k20</t>
        </is>
      </c>
      <c r="D364" s="14" t="inlineStr">
        <is>
          <t>R</t>
        </is>
      </c>
      <c r="E364" s="14" t="inlineStr">
        <is>
          <t>VoltageRating</t>
        </is>
      </c>
      <c r="F364" s="15" t="inlineStr">
        <is>
          <t>TBD</t>
        </is>
      </c>
    </row>
    <row r="365">
      <c r="A365" s="14" t="n">
        <v>63</v>
      </c>
      <c r="B365" s="14" t="inlineStr">
        <is>
          <t>R40</t>
        </is>
      </c>
      <c r="C365" s="14" t="inlineStr">
        <is>
          <t>3k20</t>
        </is>
      </c>
      <c r="D365" s="14" t="inlineStr">
        <is>
          <t>R</t>
        </is>
      </c>
      <c r="E365" s="14" t="inlineStr">
        <is>
          <t>TempCoefficient</t>
        </is>
      </c>
      <c r="F365" s="15" t="inlineStr">
        <is>
          <t>TBD</t>
        </is>
      </c>
    </row>
    <row r="366">
      <c r="A366" s="14" t="n">
        <v>63</v>
      </c>
      <c r="B366" s="14" t="inlineStr">
        <is>
          <t>R40</t>
        </is>
      </c>
      <c r="C366" s="14" t="inlineStr">
        <is>
          <t>3k20</t>
        </is>
      </c>
      <c r="D366" s="14" t="inlineStr">
        <is>
          <t>R</t>
        </is>
      </c>
      <c r="E366" s="14" t="inlineStr">
        <is>
          <t>Composition</t>
        </is>
      </c>
      <c r="F366" s="15" t="inlineStr">
        <is>
          <t>TBD</t>
        </is>
      </c>
    </row>
    <row r="367">
      <c r="A367" s="14" t="n">
        <v>64</v>
      </c>
      <c r="B367" s="14" t="inlineStr">
        <is>
          <t>R46</t>
        </is>
      </c>
      <c r="C367" s="14" t="inlineStr">
        <is>
          <t>3k24</t>
        </is>
      </c>
      <c r="D367" s="14" t="inlineStr">
        <is>
          <t>R</t>
        </is>
      </c>
      <c r="E367" s="14" t="inlineStr">
        <is>
          <t>Tolerance</t>
        </is>
      </c>
      <c r="F367" s="14" t="inlineStr">
        <is>
          <t>+/-0.1%</t>
        </is>
      </c>
    </row>
    <row r="368">
      <c r="A368" s="14" t="n">
        <v>64</v>
      </c>
      <c r="B368" s="14" t="inlineStr">
        <is>
          <t>R46</t>
        </is>
      </c>
      <c r="C368" s="14" t="inlineStr">
        <is>
          <t>3k24</t>
        </is>
      </c>
      <c r="D368" s="14" t="inlineStr">
        <is>
          <t>R</t>
        </is>
      </c>
      <c r="E368" s="14" t="inlineStr">
        <is>
          <t>PowerRating</t>
        </is>
      </c>
      <c r="F368" s="15" t="inlineStr">
        <is>
          <t>TBD</t>
        </is>
      </c>
    </row>
    <row r="369">
      <c r="A369" s="14" t="n">
        <v>64</v>
      </c>
      <c r="B369" s="14" t="inlineStr">
        <is>
          <t>R46</t>
        </is>
      </c>
      <c r="C369" s="14" t="inlineStr">
        <is>
          <t>3k24</t>
        </is>
      </c>
      <c r="D369" s="14" t="inlineStr">
        <is>
          <t>R</t>
        </is>
      </c>
      <c r="E369" s="14" t="inlineStr">
        <is>
          <t>VoltageRating</t>
        </is>
      </c>
      <c r="F369" s="15" t="inlineStr">
        <is>
          <t>TBD</t>
        </is>
      </c>
    </row>
    <row r="370">
      <c r="A370" s="14" t="n">
        <v>64</v>
      </c>
      <c r="B370" s="14" t="inlineStr">
        <is>
          <t>R46</t>
        </is>
      </c>
      <c r="C370" s="14" t="inlineStr">
        <is>
          <t>3k24</t>
        </is>
      </c>
      <c r="D370" s="14" t="inlineStr">
        <is>
          <t>R</t>
        </is>
      </c>
      <c r="E370" s="14" t="inlineStr">
        <is>
          <t>TempCoefficient</t>
        </is>
      </c>
      <c r="F370" s="15" t="inlineStr">
        <is>
          <t>TBD</t>
        </is>
      </c>
    </row>
    <row r="371">
      <c r="A371" s="14" t="n">
        <v>64</v>
      </c>
      <c r="B371" s="14" t="inlineStr">
        <is>
          <t>R46</t>
        </is>
      </c>
      <c r="C371" s="14" t="inlineStr">
        <is>
          <t>3k24</t>
        </is>
      </c>
      <c r="D371" s="14" t="inlineStr">
        <is>
          <t>R</t>
        </is>
      </c>
      <c r="E371" s="14" t="inlineStr">
        <is>
          <t>Composition</t>
        </is>
      </c>
      <c r="F371" s="15" t="inlineStr">
        <is>
          <t>TBD</t>
        </is>
      </c>
    </row>
    <row r="372">
      <c r="A372" s="14" t="n">
        <v>65</v>
      </c>
      <c r="B372" s="14" t="inlineStr">
        <is>
          <t>R4, R5, R6, R7, R24, R25, R26</t>
        </is>
      </c>
      <c r="C372" s="14" t="inlineStr">
        <is>
          <t>4k7</t>
        </is>
      </c>
      <c r="D372" s="14" t="inlineStr">
        <is>
          <t>R</t>
        </is>
      </c>
      <c r="E372" s="14" t="inlineStr">
        <is>
          <t>Tolerance</t>
        </is>
      </c>
      <c r="F372" s="15" t="inlineStr">
        <is>
          <t>TBD</t>
        </is>
      </c>
    </row>
    <row r="373">
      <c r="A373" s="14" t="n">
        <v>65</v>
      </c>
      <c r="B373" s="14" t="inlineStr">
        <is>
          <t>R4, R5, R6, R7, R24, R25, R26</t>
        </is>
      </c>
      <c r="C373" s="14" t="inlineStr">
        <is>
          <t>4k7</t>
        </is>
      </c>
      <c r="D373" s="14" t="inlineStr">
        <is>
          <t>R</t>
        </is>
      </c>
      <c r="E373" s="14" t="inlineStr">
        <is>
          <t>PowerRating</t>
        </is>
      </c>
      <c r="F373" s="15" t="inlineStr">
        <is>
          <t>TBD</t>
        </is>
      </c>
    </row>
    <row r="374">
      <c r="A374" s="14" t="n">
        <v>65</v>
      </c>
      <c r="B374" s="14" t="inlineStr">
        <is>
          <t>R4, R5, R6, R7, R24, R25, R26</t>
        </is>
      </c>
      <c r="C374" s="14" t="inlineStr">
        <is>
          <t>4k7</t>
        </is>
      </c>
      <c r="D374" s="14" t="inlineStr">
        <is>
          <t>R</t>
        </is>
      </c>
      <c r="E374" s="14" t="inlineStr">
        <is>
          <t>VoltageRating</t>
        </is>
      </c>
      <c r="F374" s="15" t="inlineStr">
        <is>
          <t>TBD</t>
        </is>
      </c>
    </row>
    <row r="375">
      <c r="A375" s="14" t="n">
        <v>65</v>
      </c>
      <c r="B375" s="14" t="inlineStr">
        <is>
          <t>R4, R5, R6, R7, R24, R25, R26</t>
        </is>
      </c>
      <c r="C375" s="14" t="inlineStr">
        <is>
          <t>4k7</t>
        </is>
      </c>
      <c r="D375" s="14" t="inlineStr">
        <is>
          <t>R</t>
        </is>
      </c>
      <c r="E375" s="14" t="inlineStr">
        <is>
          <t>TempCoefficient</t>
        </is>
      </c>
      <c r="F375" s="15" t="inlineStr">
        <is>
          <t>TBD</t>
        </is>
      </c>
    </row>
    <row r="376">
      <c r="A376" s="14" t="n">
        <v>65</v>
      </c>
      <c r="B376" s="14" t="inlineStr">
        <is>
          <t>R4, R5, R6, R7, R24, R25, R26</t>
        </is>
      </c>
      <c r="C376" s="14" t="inlineStr">
        <is>
          <t>4k7</t>
        </is>
      </c>
      <c r="D376" s="14" t="inlineStr">
        <is>
          <t>R</t>
        </is>
      </c>
      <c r="E376" s="14" t="inlineStr">
        <is>
          <t>Composition</t>
        </is>
      </c>
      <c r="F376" s="15" t="inlineStr">
        <is>
          <t>TBD</t>
        </is>
      </c>
    </row>
    <row r="377">
      <c r="A377" s="14" t="n">
        <v>66</v>
      </c>
      <c r="B377" s="14" t="inlineStr">
        <is>
          <t>R11, RShunt1</t>
        </is>
      </c>
      <c r="C377" s="14" t="inlineStr">
        <is>
          <t>5m0</t>
        </is>
      </c>
      <c r="D377" s="14" t="inlineStr">
        <is>
          <t>RS</t>
        </is>
      </c>
      <c r="E377" s="14" t="inlineStr">
        <is>
          <t>Tolerance</t>
        </is>
      </c>
      <c r="F377" s="15" t="inlineStr">
        <is>
          <t>TBD</t>
        </is>
      </c>
    </row>
    <row r="378">
      <c r="A378" s="14" t="n">
        <v>66</v>
      </c>
      <c r="B378" s="14" t="inlineStr">
        <is>
          <t>R11, RShunt1</t>
        </is>
      </c>
      <c r="C378" s="14" t="inlineStr">
        <is>
          <t>5m0</t>
        </is>
      </c>
      <c r="D378" s="14" t="inlineStr">
        <is>
          <t>RS</t>
        </is>
      </c>
      <c r="E378" s="14" t="inlineStr">
        <is>
          <t>PowerRating</t>
        </is>
      </c>
      <c r="F378" s="14" t="inlineStr">
        <is>
          <t>1W</t>
        </is>
      </c>
    </row>
    <row r="379">
      <c r="A379" s="14" t="n">
        <v>66</v>
      </c>
      <c r="B379" s="14" t="inlineStr">
        <is>
          <t>R11, RShunt1</t>
        </is>
      </c>
      <c r="C379" s="14" t="inlineStr">
        <is>
          <t>5m0</t>
        </is>
      </c>
      <c r="D379" s="14" t="inlineStr">
        <is>
          <t>RS</t>
        </is>
      </c>
      <c r="E379" s="14" t="inlineStr">
        <is>
          <t>TempCoefficient</t>
        </is>
      </c>
      <c r="F379" s="15" t="inlineStr">
        <is>
          <t>TBD</t>
        </is>
      </c>
    </row>
    <row r="380">
      <c r="A380" s="14" t="n">
        <v>66</v>
      </c>
      <c r="B380" s="14" t="inlineStr">
        <is>
          <t>R11, RShunt1</t>
        </is>
      </c>
      <c r="C380" s="14" t="inlineStr">
        <is>
          <t>5m0</t>
        </is>
      </c>
      <c r="D380" s="14" t="inlineStr">
        <is>
          <t>RS</t>
        </is>
      </c>
      <c r="E380" s="14" t="inlineStr">
        <is>
          <t>TerminationStyle</t>
        </is>
      </c>
      <c r="F380" s="14" t="inlineStr">
        <is>
          <t>4-Terminal (Kelvin)</t>
        </is>
      </c>
    </row>
    <row r="381">
      <c r="A381" s="14" t="n">
        <v>66</v>
      </c>
      <c r="B381" s="14" t="inlineStr">
        <is>
          <t>R11, RShunt1</t>
        </is>
      </c>
      <c r="C381" s="14" t="inlineStr">
        <is>
          <t>5m0</t>
        </is>
      </c>
      <c r="D381" s="14" t="inlineStr">
        <is>
          <t>RS</t>
        </is>
      </c>
      <c r="E381" s="14" t="inlineStr">
        <is>
          <t>Composition</t>
        </is>
      </c>
      <c r="F381" s="15" t="inlineStr">
        <is>
          <t>TBD</t>
        </is>
      </c>
    </row>
    <row r="382">
      <c r="A382" s="14" t="n">
        <v>67</v>
      </c>
      <c r="B382" s="14" t="inlineStr">
        <is>
          <t>R44</t>
        </is>
      </c>
      <c r="C382" s="14" t="inlineStr">
        <is>
          <t>604k</t>
        </is>
      </c>
      <c r="D382" s="14" t="inlineStr">
        <is>
          <t>R</t>
        </is>
      </c>
      <c r="E382" s="14" t="inlineStr">
        <is>
          <t>Tolerance</t>
        </is>
      </c>
      <c r="F382" s="14" t="inlineStr">
        <is>
          <t>+/-0.1%</t>
        </is>
      </c>
    </row>
    <row r="383">
      <c r="A383" s="14" t="n">
        <v>67</v>
      </c>
      <c r="B383" s="14" t="inlineStr">
        <is>
          <t>R44</t>
        </is>
      </c>
      <c r="C383" s="14" t="inlineStr">
        <is>
          <t>604k</t>
        </is>
      </c>
      <c r="D383" s="14" t="inlineStr">
        <is>
          <t>R</t>
        </is>
      </c>
      <c r="E383" s="14" t="inlineStr">
        <is>
          <t>PowerRating</t>
        </is>
      </c>
      <c r="F383" s="15" t="inlineStr">
        <is>
          <t>TBD</t>
        </is>
      </c>
    </row>
    <row r="384">
      <c r="A384" s="14" t="n">
        <v>67</v>
      </c>
      <c r="B384" s="14" t="inlineStr">
        <is>
          <t>R44</t>
        </is>
      </c>
      <c r="C384" s="14" t="inlineStr">
        <is>
          <t>604k</t>
        </is>
      </c>
      <c r="D384" s="14" t="inlineStr">
        <is>
          <t>R</t>
        </is>
      </c>
      <c r="E384" s="14" t="inlineStr">
        <is>
          <t>VoltageRating</t>
        </is>
      </c>
      <c r="F384" s="15" t="inlineStr">
        <is>
          <t>TBD</t>
        </is>
      </c>
    </row>
    <row r="385">
      <c r="A385" s="14" t="n">
        <v>67</v>
      </c>
      <c r="B385" s="14" t="inlineStr">
        <is>
          <t>R44</t>
        </is>
      </c>
      <c r="C385" s="14" t="inlineStr">
        <is>
          <t>604k</t>
        </is>
      </c>
      <c r="D385" s="14" t="inlineStr">
        <is>
          <t>R</t>
        </is>
      </c>
      <c r="E385" s="14" t="inlineStr">
        <is>
          <t>TempCoefficient</t>
        </is>
      </c>
      <c r="F385" s="15" t="inlineStr">
        <is>
          <t>TBD</t>
        </is>
      </c>
    </row>
    <row r="386">
      <c r="A386" s="14" t="n">
        <v>67</v>
      </c>
      <c r="B386" s="14" t="inlineStr">
        <is>
          <t>R44</t>
        </is>
      </c>
      <c r="C386" s="14" t="inlineStr">
        <is>
          <t>604k</t>
        </is>
      </c>
      <c r="D386" s="14" t="inlineStr">
        <is>
          <t>R</t>
        </is>
      </c>
      <c r="E386" s="14" t="inlineStr">
        <is>
          <t>Composition</t>
        </is>
      </c>
      <c r="F386" s="15" t="inlineStr">
        <is>
          <t>TBD</t>
        </is>
      </c>
    </row>
    <row r="387">
      <c r="A387" s="14" t="n">
        <v>68</v>
      </c>
      <c r="B387" s="14" t="inlineStr">
        <is>
          <t>R12</t>
        </is>
      </c>
      <c r="C387" s="14" t="inlineStr">
        <is>
          <t>6k2</t>
        </is>
      </c>
      <c r="D387" s="14" t="inlineStr">
        <is>
          <t>R</t>
        </is>
      </c>
      <c r="E387" s="14" t="inlineStr">
        <is>
          <t>Tolerance</t>
        </is>
      </c>
      <c r="F387" s="15" t="inlineStr">
        <is>
          <t>TBD</t>
        </is>
      </c>
    </row>
    <row r="388">
      <c r="A388" s="14" t="n">
        <v>68</v>
      </c>
      <c r="B388" s="14" t="inlineStr">
        <is>
          <t>R12</t>
        </is>
      </c>
      <c r="C388" s="14" t="inlineStr">
        <is>
          <t>6k2</t>
        </is>
      </c>
      <c r="D388" s="14" t="inlineStr">
        <is>
          <t>R</t>
        </is>
      </c>
      <c r="E388" s="14" t="inlineStr">
        <is>
          <t>PowerRating</t>
        </is>
      </c>
      <c r="F388" s="15" t="inlineStr">
        <is>
          <t>TBD</t>
        </is>
      </c>
    </row>
    <row r="389">
      <c r="A389" s="14" t="n">
        <v>68</v>
      </c>
      <c r="B389" s="14" t="inlineStr">
        <is>
          <t>R12</t>
        </is>
      </c>
      <c r="C389" s="14" t="inlineStr">
        <is>
          <t>6k2</t>
        </is>
      </c>
      <c r="D389" s="14" t="inlineStr">
        <is>
          <t>R</t>
        </is>
      </c>
      <c r="E389" s="14" t="inlineStr">
        <is>
          <t>VoltageRating</t>
        </is>
      </c>
      <c r="F389" s="15" t="inlineStr">
        <is>
          <t>TBD</t>
        </is>
      </c>
    </row>
    <row r="390">
      <c r="A390" s="14" t="n">
        <v>68</v>
      </c>
      <c r="B390" s="14" t="inlineStr">
        <is>
          <t>R12</t>
        </is>
      </c>
      <c r="C390" s="14" t="inlineStr">
        <is>
          <t>6k2</t>
        </is>
      </c>
      <c r="D390" s="14" t="inlineStr">
        <is>
          <t>R</t>
        </is>
      </c>
      <c r="E390" s="14" t="inlineStr">
        <is>
          <t>TempCoefficient</t>
        </is>
      </c>
      <c r="F390" s="15" t="inlineStr">
        <is>
          <t>TBD</t>
        </is>
      </c>
    </row>
    <row r="391">
      <c r="A391" s="14" t="n">
        <v>68</v>
      </c>
      <c r="B391" s="14" t="inlineStr">
        <is>
          <t>R12</t>
        </is>
      </c>
      <c r="C391" s="14" t="inlineStr">
        <is>
          <t>6k2</t>
        </is>
      </c>
      <c r="D391" s="14" t="inlineStr">
        <is>
          <t>R</t>
        </is>
      </c>
      <c r="E391" s="14" t="inlineStr">
        <is>
          <t>Composition</t>
        </is>
      </c>
      <c r="F391" s="15" t="inlineStr">
        <is>
          <t>TBD</t>
        </is>
      </c>
    </row>
    <row r="392">
      <c r="A392" s="14" t="n">
        <v>69</v>
      </c>
      <c r="B392" s="14" t="inlineStr">
        <is>
          <t>R47</t>
        </is>
      </c>
      <c r="C392" s="14" t="inlineStr">
        <is>
          <t>78k7</t>
        </is>
      </c>
      <c r="D392" s="14" t="inlineStr">
        <is>
          <t>R</t>
        </is>
      </c>
      <c r="E392" s="14" t="inlineStr">
        <is>
          <t>Tolerance</t>
        </is>
      </c>
      <c r="F392" s="15" t="inlineStr">
        <is>
          <t>TBD</t>
        </is>
      </c>
    </row>
    <row r="393">
      <c r="A393" s="14" t="n">
        <v>69</v>
      </c>
      <c r="B393" s="14" t="inlineStr">
        <is>
          <t>R47</t>
        </is>
      </c>
      <c r="C393" s="14" t="inlineStr">
        <is>
          <t>78k7</t>
        </is>
      </c>
      <c r="D393" s="14" t="inlineStr">
        <is>
          <t>R</t>
        </is>
      </c>
      <c r="E393" s="14" t="inlineStr">
        <is>
          <t>PowerRating</t>
        </is>
      </c>
      <c r="F393" s="15" t="inlineStr">
        <is>
          <t>TBD</t>
        </is>
      </c>
    </row>
    <row r="394">
      <c r="A394" s="14" t="n">
        <v>69</v>
      </c>
      <c r="B394" s="14" t="inlineStr">
        <is>
          <t>R47</t>
        </is>
      </c>
      <c r="C394" s="14" t="inlineStr">
        <is>
          <t>78k7</t>
        </is>
      </c>
      <c r="D394" s="14" t="inlineStr">
        <is>
          <t>R</t>
        </is>
      </c>
      <c r="E394" s="14" t="inlineStr">
        <is>
          <t>VoltageRating</t>
        </is>
      </c>
      <c r="F394" s="15" t="inlineStr">
        <is>
          <t>TBD</t>
        </is>
      </c>
    </row>
    <row r="395">
      <c r="A395" s="14" t="n">
        <v>69</v>
      </c>
      <c r="B395" s="14" t="inlineStr">
        <is>
          <t>R47</t>
        </is>
      </c>
      <c r="C395" s="14" t="inlineStr">
        <is>
          <t>78k7</t>
        </is>
      </c>
      <c r="D395" s="14" t="inlineStr">
        <is>
          <t>R</t>
        </is>
      </c>
      <c r="E395" s="14" t="inlineStr">
        <is>
          <t>TempCoefficient</t>
        </is>
      </c>
      <c r="F395" s="15" t="inlineStr">
        <is>
          <t>TBD</t>
        </is>
      </c>
    </row>
    <row r="396">
      <c r="A396" s="14" t="n">
        <v>69</v>
      </c>
      <c r="B396" s="14" t="inlineStr">
        <is>
          <t>R47</t>
        </is>
      </c>
      <c r="C396" s="14" t="inlineStr">
        <is>
          <t>78k7</t>
        </is>
      </c>
      <c r="D396" s="14" t="inlineStr">
        <is>
          <t>R</t>
        </is>
      </c>
      <c r="E396" s="14" t="inlineStr">
        <is>
          <t>Composition</t>
        </is>
      </c>
      <c r="F396" s="15" t="inlineStr">
        <is>
          <t>TBD</t>
        </is>
      </c>
    </row>
    <row r="397">
      <c r="A397" s="14" t="n">
        <v>70</v>
      </c>
      <c r="B397" s="14" t="inlineStr">
        <is>
          <t>R50</t>
        </is>
      </c>
      <c r="C397" s="14" t="inlineStr">
        <is>
          <t>820R</t>
        </is>
      </c>
      <c r="D397" s="14" t="inlineStr">
        <is>
          <t>R</t>
        </is>
      </c>
      <c r="E397" s="14" t="inlineStr">
        <is>
          <t>Tolerance</t>
        </is>
      </c>
      <c r="F397" s="15" t="inlineStr">
        <is>
          <t>TBD</t>
        </is>
      </c>
    </row>
    <row r="398">
      <c r="A398" s="14" t="n">
        <v>70</v>
      </c>
      <c r="B398" s="14" t="inlineStr">
        <is>
          <t>R50</t>
        </is>
      </c>
      <c r="C398" s="14" t="inlineStr">
        <is>
          <t>820R</t>
        </is>
      </c>
      <c r="D398" s="14" t="inlineStr">
        <is>
          <t>R</t>
        </is>
      </c>
      <c r="E398" s="14" t="inlineStr">
        <is>
          <t>PowerRating</t>
        </is>
      </c>
      <c r="F398" s="15" t="inlineStr">
        <is>
          <t>TBD</t>
        </is>
      </c>
    </row>
    <row r="399">
      <c r="A399" s="14" t="n">
        <v>70</v>
      </c>
      <c r="B399" s="14" t="inlineStr">
        <is>
          <t>R50</t>
        </is>
      </c>
      <c r="C399" s="14" t="inlineStr">
        <is>
          <t>820R</t>
        </is>
      </c>
      <c r="D399" s="14" t="inlineStr">
        <is>
          <t>R</t>
        </is>
      </c>
      <c r="E399" s="14" t="inlineStr">
        <is>
          <t>VoltageRating</t>
        </is>
      </c>
      <c r="F399" s="15" t="inlineStr">
        <is>
          <t>TBD</t>
        </is>
      </c>
    </row>
    <row r="400">
      <c r="A400" s="14" t="n">
        <v>70</v>
      </c>
      <c r="B400" s="14" t="inlineStr">
        <is>
          <t>R50</t>
        </is>
      </c>
      <c r="C400" s="14" t="inlineStr">
        <is>
          <t>820R</t>
        </is>
      </c>
      <c r="D400" s="14" t="inlineStr">
        <is>
          <t>R</t>
        </is>
      </c>
      <c r="E400" s="14" t="inlineStr">
        <is>
          <t>TempCoefficient</t>
        </is>
      </c>
      <c r="F400" s="15" t="inlineStr">
        <is>
          <t>TBD</t>
        </is>
      </c>
    </row>
    <row r="401">
      <c r="A401" s="14" t="n">
        <v>70</v>
      </c>
      <c r="B401" s="14" t="inlineStr">
        <is>
          <t>R50</t>
        </is>
      </c>
      <c r="C401" s="14" t="inlineStr">
        <is>
          <t>820R</t>
        </is>
      </c>
      <c r="D401" s="14" t="inlineStr">
        <is>
          <t>R</t>
        </is>
      </c>
      <c r="E401" s="14" t="inlineStr">
        <is>
          <t>Composition</t>
        </is>
      </c>
      <c r="F401" s="15" t="inlineStr">
        <is>
          <t>TBD</t>
        </is>
      </c>
    </row>
    <row r="402">
      <c r="A402" s="14" t="n">
        <v>71</v>
      </c>
      <c r="B402" s="14" t="inlineStr">
        <is>
          <t>R49</t>
        </is>
      </c>
      <c r="C402" s="14" t="inlineStr">
        <is>
          <t>9k76</t>
        </is>
      </c>
      <c r="D402" s="14" t="inlineStr">
        <is>
          <t>R</t>
        </is>
      </c>
      <c r="E402" s="14" t="inlineStr">
        <is>
          <t>Tolerance</t>
        </is>
      </c>
      <c r="F402" s="15" t="inlineStr">
        <is>
          <t>TBD</t>
        </is>
      </c>
    </row>
    <row r="403">
      <c r="A403" s="14" t="n">
        <v>71</v>
      </c>
      <c r="B403" s="14" t="inlineStr">
        <is>
          <t>R49</t>
        </is>
      </c>
      <c r="C403" s="14" t="inlineStr">
        <is>
          <t>9k76</t>
        </is>
      </c>
      <c r="D403" s="14" t="inlineStr">
        <is>
          <t>R</t>
        </is>
      </c>
      <c r="E403" s="14" t="inlineStr">
        <is>
          <t>PowerRating</t>
        </is>
      </c>
      <c r="F403" s="15" t="inlineStr">
        <is>
          <t>TBD</t>
        </is>
      </c>
    </row>
    <row r="404">
      <c r="A404" s="14" t="n">
        <v>71</v>
      </c>
      <c r="B404" s="14" t="inlineStr">
        <is>
          <t>R49</t>
        </is>
      </c>
      <c r="C404" s="14" t="inlineStr">
        <is>
          <t>9k76</t>
        </is>
      </c>
      <c r="D404" s="14" t="inlineStr">
        <is>
          <t>R</t>
        </is>
      </c>
      <c r="E404" s="14" t="inlineStr">
        <is>
          <t>VoltageRating</t>
        </is>
      </c>
      <c r="F404" s="15" t="inlineStr">
        <is>
          <t>TBD</t>
        </is>
      </c>
    </row>
    <row r="405">
      <c r="A405" s="14" t="n">
        <v>71</v>
      </c>
      <c r="B405" s="14" t="inlineStr">
        <is>
          <t>R49</t>
        </is>
      </c>
      <c r="C405" s="14" t="inlineStr">
        <is>
          <t>9k76</t>
        </is>
      </c>
      <c r="D405" s="14" t="inlineStr">
        <is>
          <t>R</t>
        </is>
      </c>
      <c r="E405" s="14" t="inlineStr">
        <is>
          <t>TempCoefficient</t>
        </is>
      </c>
      <c r="F405" s="15" t="inlineStr">
        <is>
          <t>TBD</t>
        </is>
      </c>
    </row>
    <row r="406">
      <c r="A406" s="14" t="n">
        <v>71</v>
      </c>
      <c r="B406" s="14" t="inlineStr">
        <is>
          <t>R49</t>
        </is>
      </c>
      <c r="C406" s="14" t="inlineStr">
        <is>
          <t>9k76</t>
        </is>
      </c>
      <c r="D406" s="14" t="inlineStr">
        <is>
          <t>R</t>
        </is>
      </c>
      <c r="E406" s="14" t="inlineStr">
        <is>
          <t>Composition</t>
        </is>
      </c>
      <c r="F406" s="15" t="inlineStr">
        <is>
          <t>TBD</t>
        </is>
      </c>
    </row>
    <row r="407">
      <c r="A407" s="14" t="n">
        <v>73</v>
      </c>
      <c r="B407" s="14" t="inlineStr">
        <is>
          <t>J5</t>
        </is>
      </c>
      <c r="C407" s="14" t="inlineStr">
        <is>
          <t>108-0902-001</t>
        </is>
      </c>
      <c r="D407" s="14" t="inlineStr">
        <is>
          <t>J</t>
        </is>
      </c>
      <c r="E407" s="14" t="inlineStr">
        <is>
          <t>ConnectorType</t>
        </is>
      </c>
      <c r="F407" s="14" t="inlineStr">
        <is>
          <t>Terminal</t>
        </is>
      </c>
    </row>
    <row r="408">
      <c r="A408" s="14" t="n">
        <v>73</v>
      </c>
      <c r="B408" s="14" t="inlineStr">
        <is>
          <t>J5</t>
        </is>
      </c>
      <c r="C408" s="14" t="inlineStr">
        <is>
          <t>108-0902-001</t>
        </is>
      </c>
      <c r="D408" s="14" t="inlineStr">
        <is>
          <t>J</t>
        </is>
      </c>
      <c r="E408" s="14" t="inlineStr">
        <is>
          <t>PositionCount</t>
        </is>
      </c>
      <c r="F408" s="14" t="inlineStr">
        <is>
          <t>1</t>
        </is>
      </c>
    </row>
    <row r="409">
      <c r="A409" s="14" t="n">
        <v>73</v>
      </c>
      <c r="B409" s="14" t="inlineStr">
        <is>
          <t>J5</t>
        </is>
      </c>
      <c r="C409" s="14" t="inlineStr">
        <is>
          <t>108-0902-001</t>
        </is>
      </c>
      <c r="D409" s="14" t="inlineStr">
        <is>
          <t>J</t>
        </is>
      </c>
      <c r="E409" s="14" t="inlineStr">
        <is>
          <t>Pitch</t>
        </is>
      </c>
      <c r="F409" s="15" t="inlineStr">
        <is>
          <t>TBD</t>
        </is>
      </c>
    </row>
    <row r="410">
      <c r="A410" s="14" t="n">
        <v>73</v>
      </c>
      <c r="B410" s="14" t="inlineStr">
        <is>
          <t>J5</t>
        </is>
      </c>
      <c r="C410" s="14" t="inlineStr">
        <is>
          <t>108-0902-001</t>
        </is>
      </c>
      <c r="D410" s="14" t="inlineStr">
        <is>
          <t>J</t>
        </is>
      </c>
      <c r="E410" s="14" t="inlineStr">
        <is>
          <t>RowCount</t>
        </is>
      </c>
      <c r="F410" s="14" t="inlineStr">
        <is>
          <t>1</t>
        </is>
      </c>
    </row>
    <row r="411">
      <c r="A411" s="14" t="n">
        <v>73</v>
      </c>
      <c r="B411" s="14" t="inlineStr">
        <is>
          <t>J5</t>
        </is>
      </c>
      <c r="C411" s="14" t="inlineStr">
        <is>
          <t>108-0902-001</t>
        </is>
      </c>
      <c r="D411" s="14" t="inlineStr">
        <is>
          <t>J</t>
        </is>
      </c>
      <c r="E411" s="14" t="inlineStr">
        <is>
          <t>Orientation</t>
        </is>
      </c>
      <c r="F411" s="15" t="inlineStr">
        <is>
          <t>TBD</t>
        </is>
      </c>
    </row>
    <row r="412">
      <c r="A412" s="14" t="n">
        <v>73</v>
      </c>
      <c r="B412" s="14" t="inlineStr">
        <is>
          <t>J5</t>
        </is>
      </c>
      <c r="C412" s="14" t="inlineStr">
        <is>
          <t>108-0902-001</t>
        </is>
      </c>
      <c r="D412" s="14" t="inlineStr">
        <is>
          <t>J</t>
        </is>
      </c>
      <c r="E412" s="14" t="inlineStr">
        <is>
          <t>CurrentRating</t>
        </is>
      </c>
      <c r="F412" s="15" t="inlineStr">
        <is>
          <t>TBD</t>
        </is>
      </c>
    </row>
    <row r="413">
      <c r="A413" s="14" t="n">
        <v>73</v>
      </c>
      <c r="B413" s="14" t="inlineStr">
        <is>
          <t>J5</t>
        </is>
      </c>
      <c r="C413" s="14" t="inlineStr">
        <is>
          <t>108-0902-001</t>
        </is>
      </c>
      <c r="D413" s="14" t="inlineStr">
        <is>
          <t>J</t>
        </is>
      </c>
      <c r="E413" s="14" t="inlineStr">
        <is>
          <t>VoltageRating</t>
        </is>
      </c>
      <c r="F413" s="15" t="inlineStr">
        <is>
          <t>TBD</t>
        </is>
      </c>
    </row>
    <row r="414">
      <c r="A414" s="14" t="n">
        <v>73</v>
      </c>
      <c r="B414" s="14" t="inlineStr">
        <is>
          <t>J5</t>
        </is>
      </c>
      <c r="C414" s="14" t="inlineStr">
        <is>
          <t>108-0902-001</t>
        </is>
      </c>
      <c r="D414" s="14" t="inlineStr">
        <is>
          <t>J</t>
        </is>
      </c>
      <c r="E414" s="14" t="inlineStr">
        <is>
          <t>MatingCycles</t>
        </is>
      </c>
      <c r="F414" s="15" t="inlineStr">
        <is>
          <t>TBD</t>
        </is>
      </c>
    </row>
    <row r="415">
      <c r="A415" s="14" t="n">
        <v>73</v>
      </c>
      <c r="B415" s="14" t="inlineStr">
        <is>
          <t>J5</t>
        </is>
      </c>
      <c r="C415" s="14" t="inlineStr">
        <is>
          <t>108-0902-001</t>
        </is>
      </c>
      <c r="D415" s="14" t="inlineStr">
        <is>
          <t>J</t>
        </is>
      </c>
      <c r="E415" s="14" t="inlineStr">
        <is>
          <t>ContactPlating</t>
        </is>
      </c>
      <c r="F415" s="15" t="inlineStr">
        <is>
          <t>TBD</t>
        </is>
      </c>
    </row>
    <row r="416">
      <c r="A416" s="14" t="n">
        <v>73</v>
      </c>
      <c r="B416" s="14" t="inlineStr">
        <is>
          <t>J5</t>
        </is>
      </c>
      <c r="C416" s="14" t="inlineStr">
        <is>
          <t>108-0902-001</t>
        </is>
      </c>
      <c r="D416" s="14" t="inlineStr">
        <is>
          <t>J</t>
        </is>
      </c>
      <c r="E416" s="14" t="inlineStr">
        <is>
          <t>Shielding</t>
        </is>
      </c>
      <c r="F416" s="15" t="inlineStr">
        <is>
          <t>TBD</t>
        </is>
      </c>
    </row>
    <row r="417">
      <c r="A417" s="14" t="n">
        <v>73</v>
      </c>
      <c r="B417" s="14" t="inlineStr">
        <is>
          <t>J5</t>
        </is>
      </c>
      <c r="C417" s="14" t="inlineStr">
        <is>
          <t>108-0902-001</t>
        </is>
      </c>
      <c r="D417" s="14" t="inlineStr">
        <is>
          <t>J</t>
        </is>
      </c>
      <c r="E417" s="14" t="inlineStr">
        <is>
          <t>Series</t>
        </is>
      </c>
      <c r="F417" s="15" t="inlineStr">
        <is>
          <t>TBD</t>
        </is>
      </c>
    </row>
    <row r="418">
      <c r="A418" s="14" t="n">
        <v>74</v>
      </c>
      <c r="B418" s="14" t="inlineStr">
        <is>
          <t>J6</t>
        </is>
      </c>
      <c r="C418" s="14" t="inlineStr">
        <is>
          <t>108-0903-001</t>
        </is>
      </c>
      <c r="D418" s="14" t="inlineStr">
        <is>
          <t>J</t>
        </is>
      </c>
      <c r="E418" s="14" t="inlineStr">
        <is>
          <t>ConnectorType</t>
        </is>
      </c>
      <c r="F418" s="14" t="inlineStr">
        <is>
          <t>Terminal</t>
        </is>
      </c>
    </row>
    <row r="419">
      <c r="A419" s="14" t="n">
        <v>74</v>
      </c>
      <c r="B419" s="14" t="inlineStr">
        <is>
          <t>J6</t>
        </is>
      </c>
      <c r="C419" s="14" t="inlineStr">
        <is>
          <t>108-0903-001</t>
        </is>
      </c>
      <c r="D419" s="14" t="inlineStr">
        <is>
          <t>J</t>
        </is>
      </c>
      <c r="E419" s="14" t="inlineStr">
        <is>
          <t>PositionCount</t>
        </is>
      </c>
      <c r="F419" s="14" t="inlineStr">
        <is>
          <t>1</t>
        </is>
      </c>
    </row>
    <row r="420">
      <c r="A420" s="14" t="n">
        <v>74</v>
      </c>
      <c r="B420" s="14" t="inlineStr">
        <is>
          <t>J6</t>
        </is>
      </c>
      <c r="C420" s="14" t="inlineStr">
        <is>
          <t>108-0903-001</t>
        </is>
      </c>
      <c r="D420" s="14" t="inlineStr">
        <is>
          <t>J</t>
        </is>
      </c>
      <c r="E420" s="14" t="inlineStr">
        <is>
          <t>Pitch</t>
        </is>
      </c>
      <c r="F420" s="15" t="inlineStr">
        <is>
          <t>TBD</t>
        </is>
      </c>
    </row>
    <row r="421">
      <c r="A421" s="14" t="n">
        <v>74</v>
      </c>
      <c r="B421" s="14" t="inlineStr">
        <is>
          <t>J6</t>
        </is>
      </c>
      <c r="C421" s="14" t="inlineStr">
        <is>
          <t>108-0903-001</t>
        </is>
      </c>
      <c r="D421" s="14" t="inlineStr">
        <is>
          <t>J</t>
        </is>
      </c>
      <c r="E421" s="14" t="inlineStr">
        <is>
          <t>RowCount</t>
        </is>
      </c>
      <c r="F421" s="14" t="inlineStr">
        <is>
          <t>1</t>
        </is>
      </c>
    </row>
    <row r="422">
      <c r="A422" s="14" t="n">
        <v>74</v>
      </c>
      <c r="B422" s="14" t="inlineStr">
        <is>
          <t>J6</t>
        </is>
      </c>
      <c r="C422" s="14" t="inlineStr">
        <is>
          <t>108-0903-001</t>
        </is>
      </c>
      <c r="D422" s="14" t="inlineStr">
        <is>
          <t>J</t>
        </is>
      </c>
      <c r="E422" s="14" t="inlineStr">
        <is>
          <t>Orientation</t>
        </is>
      </c>
      <c r="F422" s="15" t="inlineStr">
        <is>
          <t>TBD</t>
        </is>
      </c>
    </row>
    <row r="423">
      <c r="A423" s="14" t="n">
        <v>74</v>
      </c>
      <c r="B423" s="14" t="inlineStr">
        <is>
          <t>J6</t>
        </is>
      </c>
      <c r="C423" s="14" t="inlineStr">
        <is>
          <t>108-0903-001</t>
        </is>
      </c>
      <c r="D423" s="14" t="inlineStr">
        <is>
          <t>J</t>
        </is>
      </c>
      <c r="E423" s="14" t="inlineStr">
        <is>
          <t>CurrentRating</t>
        </is>
      </c>
      <c r="F423" s="15" t="inlineStr">
        <is>
          <t>TBD</t>
        </is>
      </c>
    </row>
    <row r="424">
      <c r="A424" s="14" t="n">
        <v>74</v>
      </c>
      <c r="B424" s="14" t="inlineStr">
        <is>
          <t>J6</t>
        </is>
      </c>
      <c r="C424" s="14" t="inlineStr">
        <is>
          <t>108-0903-001</t>
        </is>
      </c>
      <c r="D424" s="14" t="inlineStr">
        <is>
          <t>J</t>
        </is>
      </c>
      <c r="E424" s="14" t="inlineStr">
        <is>
          <t>VoltageRating</t>
        </is>
      </c>
      <c r="F424" s="15" t="inlineStr">
        <is>
          <t>TBD</t>
        </is>
      </c>
    </row>
    <row r="425">
      <c r="A425" s="14" t="n">
        <v>74</v>
      </c>
      <c r="B425" s="14" t="inlineStr">
        <is>
          <t>J6</t>
        </is>
      </c>
      <c r="C425" s="14" t="inlineStr">
        <is>
          <t>108-0903-001</t>
        </is>
      </c>
      <c r="D425" s="14" t="inlineStr">
        <is>
          <t>J</t>
        </is>
      </c>
      <c r="E425" s="14" t="inlineStr">
        <is>
          <t>MatingCycles</t>
        </is>
      </c>
      <c r="F425" s="15" t="inlineStr">
        <is>
          <t>TBD</t>
        </is>
      </c>
    </row>
    <row r="426">
      <c r="A426" s="14" t="n">
        <v>74</v>
      </c>
      <c r="B426" s="14" t="inlineStr">
        <is>
          <t>J6</t>
        </is>
      </c>
      <c r="C426" s="14" t="inlineStr">
        <is>
          <t>108-0903-001</t>
        </is>
      </c>
      <c r="D426" s="14" t="inlineStr">
        <is>
          <t>J</t>
        </is>
      </c>
      <c r="E426" s="14" t="inlineStr">
        <is>
          <t>ContactPlating</t>
        </is>
      </c>
      <c r="F426" s="15" t="inlineStr">
        <is>
          <t>TBD</t>
        </is>
      </c>
    </row>
    <row r="427">
      <c r="A427" s="14" t="n">
        <v>74</v>
      </c>
      <c r="B427" s="14" t="inlineStr">
        <is>
          <t>J6</t>
        </is>
      </c>
      <c r="C427" s="14" t="inlineStr">
        <is>
          <t>108-0903-001</t>
        </is>
      </c>
      <c r="D427" s="14" t="inlineStr">
        <is>
          <t>J</t>
        </is>
      </c>
      <c r="E427" s="14" t="inlineStr">
        <is>
          <t>Shielding</t>
        </is>
      </c>
      <c r="F427" s="15" t="inlineStr">
        <is>
          <t>TBD</t>
        </is>
      </c>
    </row>
    <row r="428">
      <c r="A428" s="14" t="n">
        <v>74</v>
      </c>
      <c r="B428" s="14" t="inlineStr">
        <is>
          <t>J6</t>
        </is>
      </c>
      <c r="C428" s="14" t="inlineStr">
        <is>
          <t>108-0903-001</t>
        </is>
      </c>
      <c r="D428" s="14" t="inlineStr">
        <is>
          <t>J</t>
        </is>
      </c>
      <c r="E428" s="14" t="inlineStr">
        <is>
          <t>Series</t>
        </is>
      </c>
      <c r="F428" s="15" t="inlineStr">
        <is>
          <t>TBD</t>
        </is>
      </c>
    </row>
    <row r="429">
      <c r="A429" s="14" t="n">
        <v>75</v>
      </c>
      <c r="B429" s="14" t="inlineStr">
        <is>
          <t>J4</t>
        </is>
      </c>
      <c r="C429" s="14" t="inlineStr">
        <is>
          <t>DG142R-5.08-02P-14-00AH</t>
        </is>
      </c>
      <c r="D429" s="14" t="inlineStr">
        <is>
          <t>J-PWR</t>
        </is>
      </c>
      <c r="E429" s="14" t="inlineStr">
        <is>
          <t>ConnectorType</t>
        </is>
      </c>
      <c r="F429" s="14" t="inlineStr">
        <is>
          <t>Terminal Block</t>
        </is>
      </c>
    </row>
    <row r="430">
      <c r="A430" s="14" t="n">
        <v>75</v>
      </c>
      <c r="B430" s="14" t="inlineStr">
        <is>
          <t>J4</t>
        </is>
      </c>
      <c r="C430" s="14" t="inlineStr">
        <is>
          <t>DG142R-5.08-02P-14-00AH</t>
        </is>
      </c>
      <c r="D430" s="14" t="inlineStr">
        <is>
          <t>J-PWR</t>
        </is>
      </c>
      <c r="E430" s="14" t="inlineStr">
        <is>
          <t>PositionCount</t>
        </is>
      </c>
      <c r="F430" s="14" t="inlineStr">
        <is>
          <t>2</t>
        </is>
      </c>
    </row>
    <row r="431">
      <c r="A431" s="14" t="n">
        <v>75</v>
      </c>
      <c r="B431" s="14" t="inlineStr">
        <is>
          <t>J4</t>
        </is>
      </c>
      <c r="C431" s="14" t="inlineStr">
        <is>
          <t>DG142R-5.08-02P-14-00AH</t>
        </is>
      </c>
      <c r="D431" s="14" t="inlineStr">
        <is>
          <t>J-PWR</t>
        </is>
      </c>
      <c r="E431" s="14" t="inlineStr">
        <is>
          <t>Pitch</t>
        </is>
      </c>
      <c r="F431" s="14" t="inlineStr">
        <is>
          <t>5.08mm</t>
        </is>
      </c>
    </row>
    <row r="432">
      <c r="A432" s="14" t="n">
        <v>75</v>
      </c>
      <c r="B432" s="14" t="inlineStr">
        <is>
          <t>J4</t>
        </is>
      </c>
      <c r="C432" s="14" t="inlineStr">
        <is>
          <t>DG142R-5.08-02P-14-00AH</t>
        </is>
      </c>
      <c r="D432" s="14" t="inlineStr">
        <is>
          <t>J-PWR</t>
        </is>
      </c>
      <c r="E432" s="14" t="inlineStr">
        <is>
          <t>RowCount</t>
        </is>
      </c>
      <c r="F432" s="14" t="inlineStr">
        <is>
          <t>1</t>
        </is>
      </c>
    </row>
    <row r="433">
      <c r="A433" s="14" t="n">
        <v>75</v>
      </c>
      <c r="B433" s="14" t="inlineStr">
        <is>
          <t>J4</t>
        </is>
      </c>
      <c r="C433" s="14" t="inlineStr">
        <is>
          <t>DG142R-5.08-02P-14-00AH</t>
        </is>
      </c>
      <c r="D433" s="14" t="inlineStr">
        <is>
          <t>J-PWR</t>
        </is>
      </c>
      <c r="E433" s="14" t="inlineStr">
        <is>
          <t>Orientation</t>
        </is>
      </c>
      <c r="F433" s="15" t="inlineStr">
        <is>
          <t>TBD</t>
        </is>
      </c>
    </row>
    <row r="434">
      <c r="A434" s="14" t="n">
        <v>75</v>
      </c>
      <c r="B434" s="14" t="inlineStr">
        <is>
          <t>J4</t>
        </is>
      </c>
      <c r="C434" s="14" t="inlineStr">
        <is>
          <t>DG142R-5.08-02P-14-00AH</t>
        </is>
      </c>
      <c r="D434" s="14" t="inlineStr">
        <is>
          <t>J-PWR</t>
        </is>
      </c>
      <c r="E434" s="14" t="inlineStr">
        <is>
          <t>CurrentRating</t>
        </is>
      </c>
      <c r="F434" s="15" t="inlineStr">
        <is>
          <t>TBD</t>
        </is>
      </c>
    </row>
    <row r="435">
      <c r="A435" s="14" t="n">
        <v>75</v>
      </c>
      <c r="B435" s="14" t="inlineStr">
        <is>
          <t>J4</t>
        </is>
      </c>
      <c r="C435" s="14" t="inlineStr">
        <is>
          <t>DG142R-5.08-02P-14-00AH</t>
        </is>
      </c>
      <c r="D435" s="14" t="inlineStr">
        <is>
          <t>J-PWR</t>
        </is>
      </c>
      <c r="E435" s="14" t="inlineStr">
        <is>
          <t>VoltageRating</t>
        </is>
      </c>
      <c r="F435" s="15" t="inlineStr">
        <is>
          <t>TBD</t>
        </is>
      </c>
    </row>
    <row r="436">
      <c r="A436" s="14" t="n">
        <v>75</v>
      </c>
      <c r="B436" s="14" t="inlineStr">
        <is>
          <t>J4</t>
        </is>
      </c>
      <c r="C436" s="14" t="inlineStr">
        <is>
          <t>DG142R-5.08-02P-14-00AH</t>
        </is>
      </c>
      <c r="D436" s="14" t="inlineStr">
        <is>
          <t>J-PWR</t>
        </is>
      </c>
      <c r="E436" s="14" t="inlineStr">
        <is>
          <t>MatingCycles</t>
        </is>
      </c>
      <c r="F436" s="15" t="inlineStr">
        <is>
          <t>TBD</t>
        </is>
      </c>
    </row>
    <row r="437">
      <c r="A437" s="14" t="n">
        <v>75</v>
      </c>
      <c r="B437" s="14" t="inlineStr">
        <is>
          <t>J4</t>
        </is>
      </c>
      <c r="C437" s="14" t="inlineStr">
        <is>
          <t>DG142R-5.08-02P-14-00AH</t>
        </is>
      </c>
      <c r="D437" s="14" t="inlineStr">
        <is>
          <t>J-PWR</t>
        </is>
      </c>
      <c r="E437" s="14" t="inlineStr">
        <is>
          <t>ContactPlating</t>
        </is>
      </c>
      <c r="F437" s="15" t="inlineStr">
        <is>
          <t>TBD</t>
        </is>
      </c>
    </row>
    <row r="438">
      <c r="A438" s="14" t="n">
        <v>75</v>
      </c>
      <c r="B438" s="14" t="inlineStr">
        <is>
          <t>J4</t>
        </is>
      </c>
      <c r="C438" s="14" t="inlineStr">
        <is>
          <t>DG142R-5.08-02P-14-00AH</t>
        </is>
      </c>
      <c r="D438" s="14" t="inlineStr">
        <is>
          <t>J-PWR</t>
        </is>
      </c>
      <c r="E438" s="14" t="inlineStr">
        <is>
          <t>Shielding</t>
        </is>
      </c>
      <c r="F438" s="15" t="inlineStr">
        <is>
          <t>TBD</t>
        </is>
      </c>
    </row>
    <row r="439">
      <c r="A439" s="14" t="n">
        <v>75</v>
      </c>
      <c r="B439" s="14" t="inlineStr">
        <is>
          <t>J4</t>
        </is>
      </c>
      <c r="C439" s="14" t="inlineStr">
        <is>
          <t>DG142R-5.08-02P-14-00AH</t>
        </is>
      </c>
      <c r="D439" s="14" t="inlineStr">
        <is>
          <t>J-PWR</t>
        </is>
      </c>
      <c r="E439" s="14" t="inlineStr">
        <is>
          <t>Series</t>
        </is>
      </c>
      <c r="F439" s="15" t="inlineStr">
        <is>
          <t>TBD</t>
        </is>
      </c>
    </row>
    <row r="440">
      <c r="A440" s="14" t="n">
        <v>75</v>
      </c>
      <c r="B440" s="14" t="inlineStr">
        <is>
          <t>J4</t>
        </is>
      </c>
      <c r="C440" s="14" t="inlineStr">
        <is>
          <t>DG142R-5.08-02P-14-00AH</t>
        </is>
      </c>
      <c r="D440" s="14" t="inlineStr">
        <is>
          <t>J-PWR</t>
        </is>
      </c>
      <c r="E440" s="14" t="inlineStr">
        <is>
          <t>WireGauge</t>
        </is>
      </c>
      <c r="F440" s="15" t="inlineStr">
        <is>
          <t>TBD</t>
        </is>
      </c>
    </row>
    <row r="441">
      <c r="A441" s="14" t="n">
        <v>75</v>
      </c>
      <c r="B441" s="14" t="inlineStr">
        <is>
          <t>J4</t>
        </is>
      </c>
      <c r="C441" s="14" t="inlineStr">
        <is>
          <t>DG142R-5.08-02P-14-00AH</t>
        </is>
      </c>
      <c r="D441" s="14" t="inlineStr">
        <is>
          <t>J-PWR</t>
        </is>
      </c>
      <c r="E441" s="14" t="inlineStr">
        <is>
          <t>WireTermination</t>
        </is>
      </c>
      <c r="F441" s="15" t="inlineStr">
        <is>
          <t>TBD</t>
        </is>
      </c>
    </row>
    <row r="442">
      <c r="A442" s="14" t="n">
        <v>75</v>
      </c>
      <c r="B442" s="14" t="inlineStr">
        <is>
          <t>J4</t>
        </is>
      </c>
      <c r="C442" s="14" t="inlineStr">
        <is>
          <t>DG142R-5.08-02P-14-00AH</t>
        </is>
      </c>
      <c r="D442" s="14" t="inlineStr">
        <is>
          <t>J-PWR</t>
        </is>
      </c>
      <c r="E442" s="14" t="inlineStr">
        <is>
          <t>TorqueRating</t>
        </is>
      </c>
      <c r="F442" s="15" t="inlineStr">
        <is>
          <t>TBD</t>
        </is>
      </c>
    </row>
    <row r="443">
      <c r="A443" s="14" t="n">
        <v>76</v>
      </c>
      <c r="B443" s="14" t="inlineStr">
        <is>
          <t>J3</t>
        </is>
      </c>
      <c r="C443" s="14" t="inlineStr">
        <is>
          <t>NHD-2.4-240320AF-CSXP</t>
        </is>
      </c>
      <c r="D443" s="14" t="inlineStr">
        <is>
          <t>J</t>
        </is>
      </c>
      <c r="E443" s="14" t="inlineStr">
        <is>
          <t>ConnectorType</t>
        </is>
      </c>
      <c r="F443" s="14" t="inlineStr">
        <is>
          <t>Receptacle</t>
        </is>
      </c>
    </row>
    <row r="444">
      <c r="A444" s="14" t="n">
        <v>76</v>
      </c>
      <c r="B444" s="14" t="inlineStr">
        <is>
          <t>J3</t>
        </is>
      </c>
      <c r="C444" s="14" t="inlineStr">
        <is>
          <t>NHD-2.4-240320AF-CSXP</t>
        </is>
      </c>
      <c r="D444" s="14" t="inlineStr">
        <is>
          <t>J</t>
        </is>
      </c>
      <c r="E444" s="14" t="inlineStr">
        <is>
          <t>PositionCount</t>
        </is>
      </c>
      <c r="F444" s="14" t="inlineStr">
        <is>
          <t>40</t>
        </is>
      </c>
    </row>
    <row r="445">
      <c r="A445" s="14" t="n">
        <v>76</v>
      </c>
      <c r="B445" s="14" t="inlineStr">
        <is>
          <t>J3</t>
        </is>
      </c>
      <c r="C445" s="14" t="inlineStr">
        <is>
          <t>NHD-2.4-240320AF-CSXP</t>
        </is>
      </c>
      <c r="D445" s="14" t="inlineStr">
        <is>
          <t>J</t>
        </is>
      </c>
      <c r="E445" s="14" t="inlineStr">
        <is>
          <t>Pitch</t>
        </is>
      </c>
      <c r="F445" s="14" t="inlineStr">
        <is>
          <t>0.5mm</t>
        </is>
      </c>
    </row>
    <row r="446">
      <c r="A446" s="14" t="n">
        <v>76</v>
      </c>
      <c r="B446" s="14" t="inlineStr">
        <is>
          <t>J3</t>
        </is>
      </c>
      <c r="C446" s="14" t="inlineStr">
        <is>
          <t>NHD-2.4-240320AF-CSXP</t>
        </is>
      </c>
      <c r="D446" s="14" t="inlineStr">
        <is>
          <t>J</t>
        </is>
      </c>
      <c r="E446" s="14" t="inlineStr">
        <is>
          <t>RowCount</t>
        </is>
      </c>
      <c r="F446" s="14" t="inlineStr">
        <is>
          <t>1</t>
        </is>
      </c>
    </row>
    <row r="447">
      <c r="A447" s="14" t="n">
        <v>76</v>
      </c>
      <c r="B447" s="14" t="inlineStr">
        <is>
          <t>J3</t>
        </is>
      </c>
      <c r="C447" s="14" t="inlineStr">
        <is>
          <t>NHD-2.4-240320AF-CSXP</t>
        </is>
      </c>
      <c r="D447" s="14" t="inlineStr">
        <is>
          <t>J</t>
        </is>
      </c>
      <c r="E447" s="14" t="inlineStr">
        <is>
          <t>Orientation</t>
        </is>
      </c>
      <c r="F447" s="15" t="inlineStr">
        <is>
          <t>TBD</t>
        </is>
      </c>
    </row>
    <row r="448">
      <c r="A448" s="14" t="n">
        <v>76</v>
      </c>
      <c r="B448" s="14" t="inlineStr">
        <is>
          <t>J3</t>
        </is>
      </c>
      <c r="C448" s="14" t="inlineStr">
        <is>
          <t>NHD-2.4-240320AF-CSXP</t>
        </is>
      </c>
      <c r="D448" s="14" t="inlineStr">
        <is>
          <t>J</t>
        </is>
      </c>
      <c r="E448" s="14" t="inlineStr">
        <is>
          <t>CurrentRating</t>
        </is>
      </c>
      <c r="F448" s="15" t="inlineStr">
        <is>
          <t>TBD</t>
        </is>
      </c>
    </row>
    <row r="449">
      <c r="A449" s="14" t="n">
        <v>76</v>
      </c>
      <c r="B449" s="14" t="inlineStr">
        <is>
          <t>J3</t>
        </is>
      </c>
      <c r="C449" s="14" t="inlineStr">
        <is>
          <t>NHD-2.4-240320AF-CSXP</t>
        </is>
      </c>
      <c r="D449" s="14" t="inlineStr">
        <is>
          <t>J</t>
        </is>
      </c>
      <c r="E449" s="14" t="inlineStr">
        <is>
          <t>VoltageRating</t>
        </is>
      </c>
      <c r="F449" s="15" t="inlineStr">
        <is>
          <t>TBD</t>
        </is>
      </c>
    </row>
    <row r="450">
      <c r="A450" s="14" t="n">
        <v>76</v>
      </c>
      <c r="B450" s="14" t="inlineStr">
        <is>
          <t>J3</t>
        </is>
      </c>
      <c r="C450" s="14" t="inlineStr">
        <is>
          <t>NHD-2.4-240320AF-CSXP</t>
        </is>
      </c>
      <c r="D450" s="14" t="inlineStr">
        <is>
          <t>J</t>
        </is>
      </c>
      <c r="E450" s="14" t="inlineStr">
        <is>
          <t>MatingCycles</t>
        </is>
      </c>
      <c r="F450" s="15" t="inlineStr">
        <is>
          <t>TBD</t>
        </is>
      </c>
    </row>
    <row r="451">
      <c r="A451" s="14" t="n">
        <v>76</v>
      </c>
      <c r="B451" s="14" t="inlineStr">
        <is>
          <t>J3</t>
        </is>
      </c>
      <c r="C451" s="14" t="inlineStr">
        <is>
          <t>NHD-2.4-240320AF-CSXP</t>
        </is>
      </c>
      <c r="D451" s="14" t="inlineStr">
        <is>
          <t>J</t>
        </is>
      </c>
      <c r="E451" s="14" t="inlineStr">
        <is>
          <t>ContactPlating</t>
        </is>
      </c>
      <c r="F451" s="15" t="inlineStr">
        <is>
          <t>TBD</t>
        </is>
      </c>
    </row>
    <row r="452">
      <c r="A452" s="14" t="n">
        <v>76</v>
      </c>
      <c r="B452" s="14" t="inlineStr">
        <is>
          <t>J3</t>
        </is>
      </c>
      <c r="C452" s="14" t="inlineStr">
        <is>
          <t>NHD-2.4-240320AF-CSXP</t>
        </is>
      </c>
      <c r="D452" s="14" t="inlineStr">
        <is>
          <t>J</t>
        </is>
      </c>
      <c r="E452" s="14" t="inlineStr">
        <is>
          <t>Shielding</t>
        </is>
      </c>
      <c r="F452" s="15" t="inlineStr">
        <is>
          <t>TBD</t>
        </is>
      </c>
    </row>
    <row r="453">
      <c r="A453" s="14" t="n">
        <v>76</v>
      </c>
      <c r="B453" s="14" t="inlineStr">
        <is>
          <t>J3</t>
        </is>
      </c>
      <c r="C453" s="14" t="inlineStr">
        <is>
          <t>NHD-2.4-240320AF-CSXP</t>
        </is>
      </c>
      <c r="D453" s="14" t="inlineStr">
        <is>
          <t>J</t>
        </is>
      </c>
      <c r="E453" s="14" t="inlineStr">
        <is>
          <t>Series</t>
        </is>
      </c>
      <c r="F453" s="15" t="inlineStr">
        <is>
          <t>TBD</t>
        </is>
      </c>
    </row>
    <row r="454">
      <c r="A454" s="14" t="n">
        <v>77</v>
      </c>
      <c r="B454" s="14" t="inlineStr">
        <is>
          <t>J7</t>
        </is>
      </c>
      <c r="C454" s="14" t="inlineStr">
        <is>
          <t>USB_C_Receptacle_USB2.0_16P</t>
        </is>
      </c>
      <c r="D454" s="14" t="inlineStr">
        <is>
          <t>J-USB</t>
        </is>
      </c>
      <c r="E454" s="14" t="inlineStr">
        <is>
          <t>ConnectorType</t>
        </is>
      </c>
      <c r="F454" s="14" t="inlineStr">
        <is>
          <t>Receptacle</t>
        </is>
      </c>
    </row>
    <row r="455">
      <c r="A455" s="14" t="n">
        <v>77</v>
      </c>
      <c r="B455" s="14" t="inlineStr">
        <is>
          <t>J7</t>
        </is>
      </c>
      <c r="C455" s="14" t="inlineStr">
        <is>
          <t>USB_C_Receptacle_USB2.0_16P</t>
        </is>
      </c>
      <c r="D455" s="14" t="inlineStr">
        <is>
          <t>J-USB</t>
        </is>
      </c>
      <c r="E455" s="14" t="inlineStr">
        <is>
          <t>PositionCount</t>
        </is>
      </c>
      <c r="F455" s="14" t="inlineStr">
        <is>
          <t>16</t>
        </is>
      </c>
    </row>
    <row r="456">
      <c r="A456" s="14" t="n">
        <v>77</v>
      </c>
      <c r="B456" s="14" t="inlineStr">
        <is>
          <t>J7</t>
        </is>
      </c>
      <c r="C456" s="14" t="inlineStr">
        <is>
          <t>USB_C_Receptacle_USB2.0_16P</t>
        </is>
      </c>
      <c r="D456" s="14" t="inlineStr">
        <is>
          <t>J-USB</t>
        </is>
      </c>
      <c r="E456" s="14" t="inlineStr">
        <is>
          <t>Pitch</t>
        </is>
      </c>
      <c r="F456" s="14" t="inlineStr">
        <is>
          <t>0.5mm</t>
        </is>
      </c>
    </row>
    <row r="457">
      <c r="A457" s="14" t="n">
        <v>77</v>
      </c>
      <c r="B457" s="14" t="inlineStr">
        <is>
          <t>J7</t>
        </is>
      </c>
      <c r="C457" s="14" t="inlineStr">
        <is>
          <t>USB_C_Receptacle_USB2.0_16P</t>
        </is>
      </c>
      <c r="D457" s="14" t="inlineStr">
        <is>
          <t>J-USB</t>
        </is>
      </c>
      <c r="E457" s="14" t="inlineStr">
        <is>
          <t>RowCount</t>
        </is>
      </c>
      <c r="F457" s="14" t="inlineStr">
        <is>
          <t>2</t>
        </is>
      </c>
    </row>
    <row r="458">
      <c r="A458" s="14" t="n">
        <v>77</v>
      </c>
      <c r="B458" s="14" t="inlineStr">
        <is>
          <t>J7</t>
        </is>
      </c>
      <c r="C458" s="14" t="inlineStr">
        <is>
          <t>USB_C_Receptacle_USB2.0_16P</t>
        </is>
      </c>
      <c r="D458" s="14" t="inlineStr">
        <is>
          <t>J-USB</t>
        </is>
      </c>
      <c r="E458" s="14" t="inlineStr">
        <is>
          <t>Orientation</t>
        </is>
      </c>
      <c r="F458" s="14" t="inlineStr">
        <is>
          <t>Right Angle</t>
        </is>
      </c>
    </row>
    <row r="459">
      <c r="A459" s="14" t="n">
        <v>77</v>
      </c>
      <c r="B459" s="14" t="inlineStr">
        <is>
          <t>J7</t>
        </is>
      </c>
      <c r="C459" s="14" t="inlineStr">
        <is>
          <t>USB_C_Receptacle_USB2.0_16P</t>
        </is>
      </c>
      <c r="D459" s="14" t="inlineStr">
        <is>
          <t>J-USB</t>
        </is>
      </c>
      <c r="E459" s="14" t="inlineStr">
        <is>
          <t>CurrentRating</t>
        </is>
      </c>
      <c r="F459" s="15" t="inlineStr">
        <is>
          <t>TBD</t>
        </is>
      </c>
    </row>
    <row r="460">
      <c r="A460" s="14" t="n">
        <v>77</v>
      </c>
      <c r="B460" s="14" t="inlineStr">
        <is>
          <t>J7</t>
        </is>
      </c>
      <c r="C460" s="14" t="inlineStr">
        <is>
          <t>USB_C_Receptacle_USB2.0_16P</t>
        </is>
      </c>
      <c r="D460" s="14" t="inlineStr">
        <is>
          <t>J-USB</t>
        </is>
      </c>
      <c r="E460" s="14" t="inlineStr">
        <is>
          <t>VoltageRating</t>
        </is>
      </c>
      <c r="F460" s="15" t="inlineStr">
        <is>
          <t>TBD</t>
        </is>
      </c>
    </row>
    <row r="461">
      <c r="A461" s="14" t="n">
        <v>77</v>
      </c>
      <c r="B461" s="14" t="inlineStr">
        <is>
          <t>J7</t>
        </is>
      </c>
      <c r="C461" s="14" t="inlineStr">
        <is>
          <t>USB_C_Receptacle_USB2.0_16P</t>
        </is>
      </c>
      <c r="D461" s="14" t="inlineStr">
        <is>
          <t>J-USB</t>
        </is>
      </c>
      <c r="E461" s="14" t="inlineStr">
        <is>
          <t>MatingCycles</t>
        </is>
      </c>
      <c r="F461" s="15" t="inlineStr">
        <is>
          <t>TBD</t>
        </is>
      </c>
    </row>
    <row r="462">
      <c r="A462" s="14" t="n">
        <v>77</v>
      </c>
      <c r="B462" s="14" t="inlineStr">
        <is>
          <t>J7</t>
        </is>
      </c>
      <c r="C462" s="14" t="inlineStr">
        <is>
          <t>USB_C_Receptacle_USB2.0_16P</t>
        </is>
      </c>
      <c r="D462" s="14" t="inlineStr">
        <is>
          <t>J-USB</t>
        </is>
      </c>
      <c r="E462" s="14" t="inlineStr">
        <is>
          <t>ContactPlating</t>
        </is>
      </c>
      <c r="F462" s="15" t="inlineStr">
        <is>
          <t>TBD</t>
        </is>
      </c>
    </row>
    <row r="463">
      <c r="A463" s="14" t="n">
        <v>77</v>
      </c>
      <c r="B463" s="14" t="inlineStr">
        <is>
          <t>J7</t>
        </is>
      </c>
      <c r="C463" s="14" t="inlineStr">
        <is>
          <t>USB_C_Receptacle_USB2.0_16P</t>
        </is>
      </c>
      <c r="D463" s="14" t="inlineStr">
        <is>
          <t>J-USB</t>
        </is>
      </c>
      <c r="E463" s="14" t="inlineStr">
        <is>
          <t>Shielding</t>
        </is>
      </c>
      <c r="F463" s="15" t="inlineStr">
        <is>
          <t>TBD</t>
        </is>
      </c>
    </row>
    <row r="464">
      <c r="A464" s="14" t="n">
        <v>77</v>
      </c>
      <c r="B464" s="14" t="inlineStr">
        <is>
          <t>J7</t>
        </is>
      </c>
      <c r="C464" s="14" t="inlineStr">
        <is>
          <t>USB_C_Receptacle_USB2.0_16P</t>
        </is>
      </c>
      <c r="D464" s="14" t="inlineStr">
        <is>
          <t>J-USB</t>
        </is>
      </c>
      <c r="E464" s="14" t="inlineStr">
        <is>
          <t>Series</t>
        </is>
      </c>
      <c r="F464" s="15" t="inlineStr">
        <is>
          <t>TBD</t>
        </is>
      </c>
    </row>
    <row r="465">
      <c r="A465" s="14" t="n">
        <v>77</v>
      </c>
      <c r="B465" s="14" t="inlineStr">
        <is>
          <t>J7</t>
        </is>
      </c>
      <c r="C465" s="14" t="inlineStr">
        <is>
          <t>USB_C_Receptacle_USB2.0_16P</t>
        </is>
      </c>
      <c r="D465" s="14" t="inlineStr">
        <is>
          <t>J-USB</t>
        </is>
      </c>
      <c r="E465" s="14" t="inlineStr">
        <is>
          <t>USBVersion</t>
        </is>
      </c>
      <c r="F465" s="14" t="inlineStr">
        <is>
          <t>USB 2.0 Type-C</t>
        </is>
      </c>
    </row>
    <row r="466">
      <c r="A466" s="14" t="n">
        <v>77</v>
      </c>
      <c r="B466" s="14" t="inlineStr">
        <is>
          <t>J7</t>
        </is>
      </c>
      <c r="C466" s="14" t="inlineStr">
        <is>
          <t>USB_C_Receptacle_USB2.0_16P</t>
        </is>
      </c>
      <c r="D466" s="14" t="inlineStr">
        <is>
          <t>J-USB</t>
        </is>
      </c>
      <c r="E466" s="14" t="inlineStr">
        <is>
          <t>PowerRating</t>
        </is>
      </c>
      <c r="F466" s="15" t="inlineStr">
        <is>
          <t>TBD</t>
        </is>
      </c>
    </row>
    <row r="467">
      <c r="A467" s="14" t="n">
        <v>77</v>
      </c>
      <c r="B467" s="14" t="inlineStr">
        <is>
          <t>J7</t>
        </is>
      </c>
      <c r="C467" s="14" t="inlineStr">
        <is>
          <t>USB_C_Receptacle_USB2.0_16P</t>
        </is>
      </c>
      <c r="D467" s="14" t="inlineStr">
        <is>
          <t>J-USB</t>
        </is>
      </c>
      <c r="E467" s="14" t="inlineStr">
        <is>
          <t>CCPinsPresent</t>
        </is>
      </c>
      <c r="F467" s="14" t="inlineStr">
        <is>
          <t>Yes</t>
        </is>
      </c>
    </row>
    <row r="468">
      <c r="A468" s="14" t="n">
        <v>77</v>
      </c>
      <c r="B468" s="14" t="inlineStr">
        <is>
          <t>J7</t>
        </is>
      </c>
      <c r="C468" s="14" t="inlineStr">
        <is>
          <t>USB_C_Receptacle_USB2.0_16P</t>
        </is>
      </c>
      <c r="D468" s="14" t="inlineStr">
        <is>
          <t>J-USB</t>
        </is>
      </c>
      <c r="E468" s="14" t="inlineStr">
        <is>
          <t>SBUPins</t>
        </is>
      </c>
      <c r="F468" s="15" t="inlineStr">
        <is>
          <t>TBD</t>
        </is>
      </c>
    </row>
    <row r="469">
      <c r="A469" s="14" t="n">
        <v>77</v>
      </c>
      <c r="B469" s="14" t="inlineStr">
        <is>
          <t>J7</t>
        </is>
      </c>
      <c r="C469" s="14" t="inlineStr">
        <is>
          <t>USB_C_Receptacle_USB2.0_16P</t>
        </is>
      </c>
      <c r="D469" s="14" t="inlineStr">
        <is>
          <t>J-USB</t>
        </is>
      </c>
      <c r="E469" s="14" t="inlineStr">
        <is>
          <t>ShellType</t>
        </is>
      </c>
      <c r="F469" s="14" t="inlineStr">
        <is>
          <t>Top Mount</t>
        </is>
      </c>
    </row>
    <row r="470">
      <c r="A470" s="14" t="n">
        <v>78</v>
      </c>
      <c r="B470" s="14" t="inlineStr">
        <is>
          <t>SW1</t>
        </is>
      </c>
      <c r="C470" s="14" t="inlineStr">
        <is>
          <t>BOOT / PTS810</t>
        </is>
      </c>
      <c r="D470" s="14" t="inlineStr">
        <is>
          <t>SW</t>
        </is>
      </c>
      <c r="E470" s="14" t="inlineStr">
        <is>
          <t>Function</t>
        </is>
      </c>
      <c r="F470" s="14" t="inlineStr">
        <is>
          <t>Tactile Switch, SPST-NO</t>
        </is>
      </c>
    </row>
    <row r="471">
      <c r="A471" s="14" t="n">
        <v>78</v>
      </c>
      <c r="B471" s="14" t="inlineStr">
        <is>
          <t>SW1</t>
        </is>
      </c>
      <c r="C471" s="14" t="inlineStr">
        <is>
          <t>BOOT / PTS810</t>
        </is>
      </c>
      <c r="D471" s="14" t="inlineStr">
        <is>
          <t>SW</t>
        </is>
      </c>
      <c r="E471" s="14" t="inlineStr">
        <is>
          <t>Detents</t>
        </is>
      </c>
      <c r="F471" s="15" t="inlineStr">
        <is>
          <t>TBD</t>
        </is>
      </c>
    </row>
    <row r="472">
      <c r="A472" s="14" t="n">
        <v>78</v>
      </c>
      <c r="B472" s="14" t="inlineStr">
        <is>
          <t>SW1</t>
        </is>
      </c>
      <c r="C472" s="14" t="inlineStr">
        <is>
          <t>BOOT / PTS810</t>
        </is>
      </c>
      <c r="D472" s="14" t="inlineStr">
        <is>
          <t>SW</t>
        </is>
      </c>
      <c r="E472" s="14" t="inlineStr">
        <is>
          <t>PulsesPerRevolution</t>
        </is>
      </c>
      <c r="F472" s="15" t="inlineStr">
        <is>
          <t>TBD</t>
        </is>
      </c>
    </row>
    <row r="473">
      <c r="A473" s="14" t="n">
        <v>78</v>
      </c>
      <c r="B473" s="14" t="inlineStr">
        <is>
          <t>SW1</t>
        </is>
      </c>
      <c r="C473" s="14" t="inlineStr">
        <is>
          <t>BOOT / PTS810</t>
        </is>
      </c>
      <c r="D473" s="14" t="inlineStr">
        <is>
          <t>SW</t>
        </is>
      </c>
      <c r="E473" s="14" t="inlineStr">
        <is>
          <t>ShaftType</t>
        </is>
      </c>
      <c r="F473" s="15" t="inlineStr">
        <is>
          <t>TBD</t>
        </is>
      </c>
    </row>
    <row r="474">
      <c r="A474" s="14" t="n">
        <v>78</v>
      </c>
      <c r="B474" s="14" t="inlineStr">
        <is>
          <t>SW1</t>
        </is>
      </c>
      <c r="C474" s="14" t="inlineStr">
        <is>
          <t>BOOT / PTS810</t>
        </is>
      </c>
      <c r="D474" s="14" t="inlineStr">
        <is>
          <t>SW</t>
        </is>
      </c>
      <c r="E474" s="14" t="inlineStr">
        <is>
          <t>ShaftLength</t>
        </is>
      </c>
      <c r="F474" s="15" t="inlineStr">
        <is>
          <t>TBD</t>
        </is>
      </c>
    </row>
    <row r="475">
      <c r="A475" s="14" t="n">
        <v>78</v>
      </c>
      <c r="B475" s="14" t="inlineStr">
        <is>
          <t>SW1</t>
        </is>
      </c>
      <c r="C475" s="14" t="inlineStr">
        <is>
          <t>BOOT / PTS810</t>
        </is>
      </c>
      <c r="D475" s="14" t="inlineStr">
        <is>
          <t>SW</t>
        </is>
      </c>
      <c r="E475" s="14" t="inlineStr">
        <is>
          <t>SwitchContactRating</t>
        </is>
      </c>
      <c r="F475" s="15" t="inlineStr">
        <is>
          <t>TBD</t>
        </is>
      </c>
    </row>
    <row r="476">
      <c r="A476" s="14" t="n">
        <v>78</v>
      </c>
      <c r="B476" s="14" t="inlineStr">
        <is>
          <t>SW1</t>
        </is>
      </c>
      <c r="C476" s="14" t="inlineStr">
        <is>
          <t>BOOT / PTS810</t>
        </is>
      </c>
      <c r="D476" s="14" t="inlineStr">
        <is>
          <t>SW</t>
        </is>
      </c>
      <c r="E476" s="14" t="inlineStr">
        <is>
          <t>ActuationForce</t>
        </is>
      </c>
      <c r="F476" s="15" t="inlineStr">
        <is>
          <t>TBD</t>
        </is>
      </c>
    </row>
    <row r="477">
      <c r="A477" s="14" t="n">
        <v>78</v>
      </c>
      <c r="B477" s="14" t="inlineStr">
        <is>
          <t>SW1</t>
        </is>
      </c>
      <c r="C477" s="14" t="inlineStr">
        <is>
          <t>BOOT / PTS810</t>
        </is>
      </c>
      <c r="D477" s="14" t="inlineStr">
        <is>
          <t>SW</t>
        </is>
      </c>
      <c r="E477" s="14" t="inlineStr">
        <is>
          <t>RotationalLife</t>
        </is>
      </c>
      <c r="F477" s="15" t="inlineStr">
        <is>
          <t>TBD</t>
        </is>
      </c>
    </row>
    <row r="478">
      <c r="A478" s="14" t="n">
        <v>79</v>
      </c>
      <c r="B478" s="14" t="inlineStr">
        <is>
          <t>SW3</t>
        </is>
      </c>
      <c r="C478" s="14" t="inlineStr">
        <is>
          <t>L-KLS4-EC1121S-E5A-F12.5</t>
        </is>
      </c>
      <c r="D478" s="14" t="inlineStr">
        <is>
          <t>SW</t>
        </is>
      </c>
      <c r="E478" s="14" t="inlineStr">
        <is>
          <t>Function</t>
        </is>
      </c>
      <c r="F478" s="14" t="inlineStr">
        <is>
          <t>Rotary Encoder with Switch</t>
        </is>
      </c>
    </row>
    <row r="479">
      <c r="A479" s="14" t="n">
        <v>79</v>
      </c>
      <c r="B479" s="14" t="inlineStr">
        <is>
          <t>SW3</t>
        </is>
      </c>
      <c r="C479" s="14" t="inlineStr">
        <is>
          <t>L-KLS4-EC1121S-E5A-F12.5</t>
        </is>
      </c>
      <c r="D479" s="14" t="inlineStr">
        <is>
          <t>SW</t>
        </is>
      </c>
      <c r="E479" s="14" t="inlineStr">
        <is>
          <t>Detents</t>
        </is>
      </c>
      <c r="F479" s="15" t="inlineStr">
        <is>
          <t>TBD</t>
        </is>
      </c>
    </row>
    <row r="480">
      <c r="A480" s="14" t="n">
        <v>79</v>
      </c>
      <c r="B480" s="14" t="inlineStr">
        <is>
          <t>SW3</t>
        </is>
      </c>
      <c r="C480" s="14" t="inlineStr">
        <is>
          <t>L-KLS4-EC1121S-E5A-F12.5</t>
        </is>
      </c>
      <c r="D480" s="14" t="inlineStr">
        <is>
          <t>SW</t>
        </is>
      </c>
      <c r="E480" s="14" t="inlineStr">
        <is>
          <t>PulsesPerRevolution</t>
        </is>
      </c>
      <c r="F480" s="15" t="inlineStr">
        <is>
          <t>TBD</t>
        </is>
      </c>
    </row>
    <row r="481">
      <c r="A481" s="14" t="n">
        <v>79</v>
      </c>
      <c r="B481" s="14" t="inlineStr">
        <is>
          <t>SW3</t>
        </is>
      </c>
      <c r="C481" s="14" t="inlineStr">
        <is>
          <t>L-KLS4-EC1121S-E5A-F12.5</t>
        </is>
      </c>
      <c r="D481" s="14" t="inlineStr">
        <is>
          <t>SW</t>
        </is>
      </c>
      <c r="E481" s="14" t="inlineStr">
        <is>
          <t>ShaftType</t>
        </is>
      </c>
      <c r="F481" s="15" t="inlineStr">
        <is>
          <t>TBD</t>
        </is>
      </c>
    </row>
    <row r="482">
      <c r="A482" s="14" t="n">
        <v>79</v>
      </c>
      <c r="B482" s="14" t="inlineStr">
        <is>
          <t>SW3</t>
        </is>
      </c>
      <c r="C482" s="14" t="inlineStr">
        <is>
          <t>L-KLS4-EC1121S-E5A-F12.5</t>
        </is>
      </c>
      <c r="D482" s="14" t="inlineStr">
        <is>
          <t>SW</t>
        </is>
      </c>
      <c r="E482" s="14" t="inlineStr">
        <is>
          <t>ShaftLength</t>
        </is>
      </c>
      <c r="F482" s="14" t="inlineStr">
        <is>
          <t>12.5mm</t>
        </is>
      </c>
    </row>
    <row r="483">
      <c r="A483" s="14" t="n">
        <v>79</v>
      </c>
      <c r="B483" s="14" t="inlineStr">
        <is>
          <t>SW3</t>
        </is>
      </c>
      <c r="C483" s="14" t="inlineStr">
        <is>
          <t>L-KLS4-EC1121S-E5A-F12.5</t>
        </is>
      </c>
      <c r="D483" s="14" t="inlineStr">
        <is>
          <t>SW</t>
        </is>
      </c>
      <c r="E483" s="14" t="inlineStr">
        <is>
          <t>SwitchContactRating</t>
        </is>
      </c>
      <c r="F483" s="15" t="inlineStr">
        <is>
          <t>TBD</t>
        </is>
      </c>
    </row>
    <row r="484">
      <c r="A484" s="14" t="n">
        <v>79</v>
      </c>
      <c r="B484" s="14" t="inlineStr">
        <is>
          <t>SW3</t>
        </is>
      </c>
      <c r="C484" s="14" t="inlineStr">
        <is>
          <t>L-KLS4-EC1121S-E5A-F12.5</t>
        </is>
      </c>
      <c r="D484" s="14" t="inlineStr">
        <is>
          <t>SW</t>
        </is>
      </c>
      <c r="E484" s="14" t="inlineStr">
        <is>
          <t>ActuationForce</t>
        </is>
      </c>
      <c r="F484" s="15" t="inlineStr">
        <is>
          <t>TBD</t>
        </is>
      </c>
    </row>
    <row r="485">
      <c r="A485" s="14" t="n">
        <v>79</v>
      </c>
      <c r="B485" s="14" t="inlineStr">
        <is>
          <t>SW3</t>
        </is>
      </c>
      <c r="C485" s="14" t="inlineStr">
        <is>
          <t>L-KLS4-EC1121S-E5A-F12.5</t>
        </is>
      </c>
      <c r="D485" s="14" t="inlineStr">
        <is>
          <t>SW</t>
        </is>
      </c>
      <c r="E485" s="14" t="inlineStr">
        <is>
          <t>RotationalLife</t>
        </is>
      </c>
      <c r="F485" s="15" t="inlineStr">
        <is>
          <t>TBD</t>
        </is>
      </c>
    </row>
    <row r="486">
      <c r="A486" s="14" t="n">
        <v>80</v>
      </c>
      <c r="B486" s="14" t="inlineStr">
        <is>
          <t>SW2</t>
        </is>
      </c>
      <c r="C486" s="14" t="inlineStr">
        <is>
          <t>RESET / PTS810</t>
        </is>
      </c>
      <c r="D486" s="14" t="inlineStr">
        <is>
          <t>SW</t>
        </is>
      </c>
      <c r="E486" s="14" t="inlineStr">
        <is>
          <t>Function</t>
        </is>
      </c>
      <c r="F486" s="14" t="inlineStr">
        <is>
          <t>Tactile Switch, SPST-NO</t>
        </is>
      </c>
    </row>
    <row r="487">
      <c r="A487" s="14" t="n">
        <v>80</v>
      </c>
      <c r="B487" s="14" t="inlineStr">
        <is>
          <t>SW2</t>
        </is>
      </c>
      <c r="C487" s="14" t="inlineStr">
        <is>
          <t>RESET / PTS810</t>
        </is>
      </c>
      <c r="D487" s="14" t="inlineStr">
        <is>
          <t>SW</t>
        </is>
      </c>
      <c r="E487" s="14" t="inlineStr">
        <is>
          <t>Detents</t>
        </is>
      </c>
      <c r="F487" s="15" t="inlineStr">
        <is>
          <t>TBD</t>
        </is>
      </c>
    </row>
    <row r="488">
      <c r="A488" s="14" t="n">
        <v>80</v>
      </c>
      <c r="B488" s="14" t="inlineStr">
        <is>
          <t>SW2</t>
        </is>
      </c>
      <c r="C488" s="14" t="inlineStr">
        <is>
          <t>RESET / PTS810</t>
        </is>
      </c>
      <c r="D488" s="14" t="inlineStr">
        <is>
          <t>SW</t>
        </is>
      </c>
      <c r="E488" s="14" t="inlineStr">
        <is>
          <t>PulsesPerRevolution</t>
        </is>
      </c>
      <c r="F488" s="15" t="inlineStr">
        <is>
          <t>TBD</t>
        </is>
      </c>
    </row>
    <row r="489">
      <c r="A489" s="14" t="n">
        <v>80</v>
      </c>
      <c r="B489" s="14" t="inlineStr">
        <is>
          <t>SW2</t>
        </is>
      </c>
      <c r="C489" s="14" t="inlineStr">
        <is>
          <t>RESET / PTS810</t>
        </is>
      </c>
      <c r="D489" s="14" t="inlineStr">
        <is>
          <t>SW</t>
        </is>
      </c>
      <c r="E489" s="14" t="inlineStr">
        <is>
          <t>ShaftType</t>
        </is>
      </c>
      <c r="F489" s="15" t="inlineStr">
        <is>
          <t>TBD</t>
        </is>
      </c>
    </row>
    <row r="490">
      <c r="A490" s="14" t="n">
        <v>80</v>
      </c>
      <c r="B490" s="14" t="inlineStr">
        <is>
          <t>SW2</t>
        </is>
      </c>
      <c r="C490" s="14" t="inlineStr">
        <is>
          <t>RESET / PTS810</t>
        </is>
      </c>
      <c r="D490" s="14" t="inlineStr">
        <is>
          <t>SW</t>
        </is>
      </c>
      <c r="E490" s="14" t="inlineStr">
        <is>
          <t>ShaftLength</t>
        </is>
      </c>
      <c r="F490" s="15" t="inlineStr">
        <is>
          <t>TBD</t>
        </is>
      </c>
    </row>
    <row r="491">
      <c r="A491" s="14" t="n">
        <v>80</v>
      </c>
      <c r="B491" s="14" t="inlineStr">
        <is>
          <t>SW2</t>
        </is>
      </c>
      <c r="C491" s="14" t="inlineStr">
        <is>
          <t>RESET / PTS810</t>
        </is>
      </c>
      <c r="D491" s="14" t="inlineStr">
        <is>
          <t>SW</t>
        </is>
      </c>
      <c r="E491" s="14" t="inlineStr">
        <is>
          <t>SwitchContactRating</t>
        </is>
      </c>
      <c r="F491" s="15" t="inlineStr">
        <is>
          <t>TBD</t>
        </is>
      </c>
    </row>
    <row r="492">
      <c r="A492" s="14" t="n">
        <v>80</v>
      </c>
      <c r="B492" s="14" t="inlineStr">
        <is>
          <t>SW2</t>
        </is>
      </c>
      <c r="C492" s="14" t="inlineStr">
        <is>
          <t>RESET / PTS810</t>
        </is>
      </c>
      <c r="D492" s="14" t="inlineStr">
        <is>
          <t>SW</t>
        </is>
      </c>
      <c r="E492" s="14" t="inlineStr">
        <is>
          <t>ActuationForce</t>
        </is>
      </c>
      <c r="F492" s="15" t="inlineStr">
        <is>
          <t>TBD</t>
        </is>
      </c>
    </row>
    <row r="493">
      <c r="A493" s="14" t="n">
        <v>80</v>
      </c>
      <c r="B493" s="14" t="inlineStr">
        <is>
          <t>SW2</t>
        </is>
      </c>
      <c r="C493" s="14" t="inlineStr">
        <is>
          <t>RESET / PTS810</t>
        </is>
      </c>
      <c r="D493" s="14" t="inlineStr">
        <is>
          <t>SW</t>
        </is>
      </c>
      <c r="E493" s="14" t="inlineStr">
        <is>
          <t>RotationalLife</t>
        </is>
      </c>
      <c r="F493" s="15" t="inlineStr">
        <is>
          <t>TBD</t>
        </is>
      </c>
    </row>
    <row r="494">
      <c r="A494" s="14" t="n">
        <v>81</v>
      </c>
      <c r="B494" s="14" t="inlineStr">
        <is>
          <t>BT1</t>
        </is>
      </c>
      <c r="C494" s="14" t="inlineStr">
        <is>
          <t>CR2032 holder</t>
        </is>
      </c>
      <c r="D494" s="14" t="inlineStr">
        <is>
          <t>BT</t>
        </is>
      </c>
      <c r="E494" s="14" t="inlineStr">
        <is>
          <t>Chemistry</t>
        </is>
      </c>
      <c r="F494" s="14" t="inlineStr">
        <is>
          <t>Lithium Manganese Dioxide</t>
        </is>
      </c>
    </row>
    <row r="495">
      <c r="A495" s="14" t="n">
        <v>81</v>
      </c>
      <c r="B495" s="14" t="inlineStr">
        <is>
          <t>BT1</t>
        </is>
      </c>
      <c r="C495" s="14" t="inlineStr">
        <is>
          <t>CR2032 holder</t>
        </is>
      </c>
      <c r="D495" s="14" t="inlineStr">
        <is>
          <t>BT</t>
        </is>
      </c>
      <c r="E495" s="14" t="inlineStr">
        <is>
          <t>CellSize</t>
        </is>
      </c>
      <c r="F495" s="14" t="inlineStr">
        <is>
          <t>CR2032</t>
        </is>
      </c>
    </row>
    <row r="496">
      <c r="A496" s="14" t="n">
        <v>81</v>
      </c>
      <c r="B496" s="14" t="inlineStr">
        <is>
          <t>BT1</t>
        </is>
      </c>
      <c r="C496" s="14" t="inlineStr">
        <is>
          <t>CR2032 holder</t>
        </is>
      </c>
      <c r="D496" s="14" t="inlineStr">
        <is>
          <t>BT</t>
        </is>
      </c>
      <c r="E496" s="14" t="inlineStr">
        <is>
          <t>NominalVoltage</t>
        </is>
      </c>
      <c r="F496" s="14" t="inlineStr">
        <is>
          <t>3V</t>
        </is>
      </c>
    </row>
    <row r="497">
      <c r="A497" s="14" t="n">
        <v>81</v>
      </c>
      <c r="B497" s="14" t="inlineStr">
        <is>
          <t>BT1</t>
        </is>
      </c>
      <c r="C497" s="14" t="inlineStr">
        <is>
          <t>CR2032 holder</t>
        </is>
      </c>
      <c r="D497" s="14" t="inlineStr">
        <is>
          <t>BT</t>
        </is>
      </c>
      <c r="E497" s="14" t="inlineStr">
        <is>
          <t>Capacity</t>
        </is>
      </c>
      <c r="F497" s="15" t="inlineStr">
        <is>
          <t>TBD</t>
        </is>
      </c>
    </row>
    <row r="498">
      <c r="A498" s="14" t="n">
        <v>81</v>
      </c>
      <c r="B498" s="14" t="inlineStr">
        <is>
          <t>BT1</t>
        </is>
      </c>
      <c r="C498" s="14" t="inlineStr">
        <is>
          <t>CR2032 holder</t>
        </is>
      </c>
      <c r="D498" s="14" t="inlineStr">
        <is>
          <t>BT</t>
        </is>
      </c>
      <c r="E498" s="14" t="inlineStr">
        <is>
          <t>HolderMounting</t>
        </is>
      </c>
      <c r="F498" s="14" t="inlineStr">
        <is>
          <t>Surface Mount</t>
        </is>
      </c>
    </row>
    <row r="499">
      <c r="A499" s="14" t="n">
        <v>81</v>
      </c>
      <c r="B499" s="14" t="inlineStr">
        <is>
          <t>BT1</t>
        </is>
      </c>
      <c r="C499" s="14" t="inlineStr">
        <is>
          <t>CR2032 holder</t>
        </is>
      </c>
      <c r="D499" s="14" t="inlineStr">
        <is>
          <t>BT</t>
        </is>
      </c>
      <c r="E499" s="14" t="inlineStr">
        <is>
          <t>BatteryType</t>
        </is>
      </c>
      <c r="F499" s="14" t="inlineStr">
        <is>
          <t>CR2032</t>
        </is>
      </c>
    </row>
    <row r="500">
      <c r="A500" s="14" t="n">
        <v>82</v>
      </c>
      <c r="B500" s="14" t="inlineStr">
        <is>
          <t>TP1, TP2, TP3, TP4, TP5, TP6, TP7, TP8, TP9, TP10, TP11, TP12, TP13</t>
        </is>
      </c>
      <c r="C500" s="14" t="inlineStr">
        <is>
          <t>TestPoint</t>
        </is>
      </c>
      <c r="D500" s="14" t="inlineStr">
        <is>
          <t>TP</t>
        </is>
      </c>
      <c r="E500" s="14" t="inlineStr">
        <is>
          <t>HardwareType</t>
        </is>
      </c>
      <c r="F500" s="14" t="inlineStr">
        <is>
          <t>Test Point</t>
        </is>
      </c>
    </row>
    <row r="501">
      <c r="A501" s="14" t="n">
        <v>82</v>
      </c>
      <c r="B501" s="14" t="inlineStr">
        <is>
          <t>TP1, TP2, TP3, TP4, TP5, TP6, TP7, TP8, TP9, TP10, TP11, TP12, TP13</t>
        </is>
      </c>
      <c r="C501" s="14" t="inlineStr">
        <is>
          <t>TestPoint</t>
        </is>
      </c>
      <c r="D501" s="14" t="inlineStr">
        <is>
          <t>TP</t>
        </is>
      </c>
      <c r="E501" s="14" t="inlineStr">
        <is>
          <t>PadDiameter</t>
        </is>
      </c>
      <c r="F501" s="14" t="inlineStr">
        <is>
          <t>1.0mm</t>
        </is>
      </c>
    </row>
  </sheetData>
  <autoFilter ref="A1:F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13" customWidth="1" min="4" max="4"/>
    <col width="10" customWidth="1" min="5" max="5"/>
  </cols>
  <sheetData>
    <row r="1">
      <c r="A1" s="1" t="inlineStr">
        <is>
          <t>Kapatılacak veri boşlukları</t>
        </is>
      </c>
    </row>
    <row r="2">
      <c r="A2" s="13" t="inlineStr">
        <is>
          <t>TBD = değer henüz belirlenmedi. Sayılar BOM ve Parametreler sayfalarından formülle çekilir; o sayfalarda TBD yerine gerçek değeri yazınca burası kendiliğinden güncellenir.</t>
        </is>
      </c>
    </row>
    <row r="4" ht="30" customHeight="1">
      <c r="A4" s="4" t="inlineStr">
        <is>
          <t>Alan</t>
        </is>
      </c>
      <c r="B4" s="4" t="inlineStr">
        <is>
          <t>Kaynak</t>
        </is>
      </c>
      <c r="C4" s="4" t="inlineStr">
        <is>
          <t>TBD satır</t>
        </is>
      </c>
      <c r="D4" s="4" t="inlineStr">
        <is>
          <t>Toplam satır</t>
        </is>
      </c>
      <c r="E4" s="4" t="inlineStr">
        <is>
          <t>Doluluk</t>
        </is>
      </c>
    </row>
    <row r="5">
      <c r="A5" s="14" t="inlineStr">
        <is>
          <t>Üretici</t>
        </is>
      </c>
      <c r="B5" s="14" t="inlineStr">
        <is>
          <t>BOM</t>
        </is>
      </c>
      <c r="C5" s="14">
        <f>COUNTIF(BOM!H2:H83,"TBD")</f>
        <v/>
      </c>
      <c r="D5" s="14" t="n">
        <v>82</v>
      </c>
      <c r="E5" s="16">
        <f>IF(D5=0,0,1-C5/D5)</f>
        <v/>
      </c>
    </row>
    <row r="6">
      <c r="A6" s="14" t="inlineStr">
        <is>
          <t>MPN</t>
        </is>
      </c>
      <c r="B6" s="14" t="inlineStr">
        <is>
          <t>BOM</t>
        </is>
      </c>
      <c r="C6" s="14">
        <f>COUNTIF(BOM!I2:I83,"TBD")</f>
        <v/>
      </c>
      <c r="D6" s="14" t="n">
        <v>82</v>
      </c>
      <c r="E6" s="16">
        <f>IF(D6=0,0,1-C6/D6)</f>
        <v/>
      </c>
    </row>
    <row r="7">
      <c r="A7" s="14" t="inlineStr">
        <is>
          <t>Açıklama</t>
        </is>
      </c>
      <c r="B7" s="14" t="inlineStr">
        <is>
          <t>BOM</t>
        </is>
      </c>
      <c r="C7" s="14">
        <f>COUNTIF(BOM!E2:E83,"TBD")</f>
        <v/>
      </c>
      <c r="D7" s="14" t="n">
        <v>82</v>
      </c>
      <c r="E7" s="16">
        <f>IF(D7=0,0,1-C7/D7)</f>
        <v/>
      </c>
    </row>
    <row r="8">
      <c r="A8" s="14" t="inlineStr">
        <is>
          <t>Package</t>
        </is>
      </c>
      <c r="B8" s="14" t="inlineStr">
        <is>
          <t>BOM</t>
        </is>
      </c>
      <c r="C8" s="14">
        <f>COUNTIF(BOM!F2:F83,"TBD")</f>
        <v/>
      </c>
      <c r="D8" s="14" t="n">
        <v>82</v>
      </c>
      <c r="E8" s="16">
        <f>IF(D8=0,0,1-C8/D8)</f>
        <v/>
      </c>
    </row>
    <row r="9">
      <c r="A9" s="14" t="inlineStr">
        <is>
          <t>Montaj</t>
        </is>
      </c>
      <c r="B9" s="14" t="inlineStr">
        <is>
          <t>BOM</t>
        </is>
      </c>
      <c r="C9" s="14">
        <f>COUNTIF(BOM!L2:L83,"TBD")</f>
        <v/>
      </c>
      <c r="D9" s="14" t="n">
        <v>82</v>
      </c>
      <c r="E9" s="16">
        <f>IF(D9=0,0,1-C9/D9)</f>
        <v/>
      </c>
    </row>
    <row r="10">
      <c r="A10" s="14" t="inlineStr">
        <is>
          <t>Lifecycle</t>
        </is>
      </c>
      <c r="B10" s="14" t="inlineStr">
        <is>
          <t>BOM</t>
        </is>
      </c>
      <c r="C10" s="14">
        <f>COUNTIF(BOM!M2:M83,"TBD")</f>
        <v/>
      </c>
      <c r="D10" s="14" t="n">
        <v>82</v>
      </c>
      <c r="E10" s="16">
        <f>IF(D10=0,0,1-C10/D10)</f>
        <v/>
      </c>
    </row>
    <row r="11">
      <c r="A11" s="14" t="inlineStr">
        <is>
          <t>RoHS</t>
        </is>
      </c>
      <c r="B11" s="14" t="inlineStr">
        <is>
          <t>BOM</t>
        </is>
      </c>
      <c r="C11" s="14">
        <f>COUNTIF(BOM!N2:N83,"TBD")</f>
        <v/>
      </c>
      <c r="D11" s="14" t="n">
        <v>82</v>
      </c>
      <c r="E11" s="16">
        <f>IF(D11=0,0,1-C11/D11)</f>
        <v/>
      </c>
    </row>
    <row r="12">
      <c r="A12" s="14" t="inlineStr">
        <is>
          <t>Datasheet</t>
        </is>
      </c>
      <c r="B12" s="14" t="inlineStr">
        <is>
          <t>BOM</t>
        </is>
      </c>
      <c r="C12" s="14">
        <f>COUNTIF(BOM!R2:R83,"TBD")</f>
        <v/>
      </c>
      <c r="D12" s="14" t="n">
        <v>82</v>
      </c>
      <c r="E12" s="16">
        <f>IF(D12=0,0,1-C12/D12)</f>
        <v/>
      </c>
    </row>
    <row r="13">
      <c r="A13" s="14" t="inlineStr">
        <is>
          <t>Tasarım Notu</t>
        </is>
      </c>
      <c r="B13" s="14" t="inlineStr">
        <is>
          <t>BOM</t>
        </is>
      </c>
      <c r="C13" s="14">
        <f>COUNTIF(BOM!S2:S83,"TBD")</f>
        <v/>
      </c>
      <c r="D13" s="14" t="n">
        <v>82</v>
      </c>
      <c r="E13" s="16">
        <f>IF(D13=0,0,1-C13/D13)</f>
        <v/>
      </c>
    </row>
    <row r="14">
      <c r="A14" s="14" t="inlineStr">
        <is>
          <t>ActuationForce</t>
        </is>
      </c>
      <c r="B14" s="14" t="inlineStr">
        <is>
          <t>Parametreler</t>
        </is>
      </c>
      <c r="C14" s="14">
        <f>COUNTIFS(Parametreler!$E$2:$E$501,A14,Parametreler!$F$2:$F$501,"TBD")</f>
        <v/>
      </c>
      <c r="D14" s="14">
        <f>COUNTIF(Parametreler!$E$2:$E$501,A14)</f>
        <v/>
      </c>
      <c r="E14" s="16">
        <f>IF(D14=0,0,1-C14/D14)</f>
        <v/>
      </c>
    </row>
    <row r="15">
      <c r="A15" s="14" t="inlineStr">
        <is>
          <t>AntennaType</t>
        </is>
      </c>
      <c r="B15" s="14" t="inlineStr">
        <is>
          <t>Parametreler</t>
        </is>
      </c>
      <c r="C15" s="14">
        <f>COUNTIFS(Parametreler!$E$2:$E$501,A15,Parametreler!$F$2:$F$501,"TBD")</f>
        <v/>
      </c>
      <c r="D15" s="14">
        <f>COUNTIF(Parametreler!$E$2:$E$501,A15)</f>
        <v/>
      </c>
      <c r="E15" s="16">
        <f>IF(D15=0,0,1-C15/D15)</f>
        <v/>
      </c>
    </row>
    <row r="16">
      <c r="A16" s="14" t="inlineStr">
        <is>
          <t>BatteryType</t>
        </is>
      </c>
      <c r="B16" s="14" t="inlineStr">
        <is>
          <t>Parametreler</t>
        </is>
      </c>
      <c r="C16" s="14">
        <f>COUNTIFS(Parametreler!$E$2:$E$501,A16,Parametreler!$F$2:$F$501,"TBD")</f>
        <v/>
      </c>
      <c r="D16" s="14">
        <f>COUNTIF(Parametreler!$E$2:$E$501,A16)</f>
        <v/>
      </c>
      <c r="E16" s="16">
        <f>IF(D16=0,0,1-C16/D16)</f>
        <v/>
      </c>
    </row>
    <row r="17">
      <c r="A17" s="14" t="inlineStr">
        <is>
          <t>BreakdownVoltage</t>
        </is>
      </c>
      <c r="B17" s="14" t="inlineStr">
        <is>
          <t>Parametreler</t>
        </is>
      </c>
      <c r="C17" s="14">
        <f>COUNTIFS(Parametreler!$E$2:$E$501,A17,Parametreler!$F$2:$F$501,"TBD")</f>
        <v/>
      </c>
      <c r="D17" s="14">
        <f>COUNTIF(Parametreler!$E$2:$E$501,A17)</f>
        <v/>
      </c>
      <c r="E17" s="16">
        <f>IF(D17=0,0,1-C17/D17)</f>
        <v/>
      </c>
    </row>
    <row r="18">
      <c r="A18" s="14" t="inlineStr">
        <is>
          <t>CCPinsPresent</t>
        </is>
      </c>
      <c r="B18" s="14" t="inlineStr">
        <is>
          <t>Parametreler</t>
        </is>
      </c>
      <c r="C18" s="14">
        <f>COUNTIFS(Parametreler!$E$2:$E$501,A18,Parametreler!$F$2:$F$501,"TBD")</f>
        <v/>
      </c>
      <c r="D18" s="14">
        <f>COUNTIF(Parametreler!$E$2:$E$501,A18)</f>
        <v/>
      </c>
      <c r="E18" s="16">
        <f>IF(D18=0,0,1-C18/D18)</f>
        <v/>
      </c>
    </row>
    <row r="19">
      <c r="A19" s="14" t="inlineStr">
        <is>
          <t>Capacitance</t>
        </is>
      </c>
      <c r="B19" s="14" t="inlineStr">
        <is>
          <t>Parametreler</t>
        </is>
      </c>
      <c r="C19" s="14">
        <f>COUNTIFS(Parametreler!$E$2:$E$501,A19,Parametreler!$F$2:$F$501,"TBD")</f>
        <v/>
      </c>
      <c r="D19" s="14">
        <f>COUNTIF(Parametreler!$E$2:$E$501,A19)</f>
        <v/>
      </c>
      <c r="E19" s="16">
        <f>IF(D19=0,0,1-C19/D19)</f>
        <v/>
      </c>
    </row>
    <row r="20">
      <c r="A20" s="14" t="inlineStr">
        <is>
          <t>Capacity</t>
        </is>
      </c>
      <c r="B20" s="14" t="inlineStr">
        <is>
          <t>Parametreler</t>
        </is>
      </c>
      <c r="C20" s="14">
        <f>COUNTIFS(Parametreler!$E$2:$E$501,A20,Parametreler!$F$2:$F$501,"TBD")</f>
        <v/>
      </c>
      <c r="D20" s="14">
        <f>COUNTIF(Parametreler!$E$2:$E$501,A20)</f>
        <v/>
      </c>
      <c r="E20" s="16">
        <f>IF(D20=0,0,1-C20/D20)</f>
        <v/>
      </c>
    </row>
    <row r="21">
      <c r="A21" s="14" t="inlineStr">
        <is>
          <t>CellSize</t>
        </is>
      </c>
      <c r="B21" s="14" t="inlineStr">
        <is>
          <t>Parametreler</t>
        </is>
      </c>
      <c r="C21" s="14">
        <f>COUNTIFS(Parametreler!$E$2:$E$501,A21,Parametreler!$F$2:$F$501,"TBD")</f>
        <v/>
      </c>
      <c r="D21" s="14">
        <f>COUNTIF(Parametreler!$E$2:$E$501,A21)</f>
        <v/>
      </c>
      <c r="E21" s="16">
        <f>IF(D21=0,0,1-C21/D21)</f>
        <v/>
      </c>
    </row>
    <row r="22">
      <c r="A22" s="14" t="inlineStr">
        <is>
          <t>Certification</t>
        </is>
      </c>
      <c r="B22" s="14" t="inlineStr">
        <is>
          <t>Parametreler</t>
        </is>
      </c>
      <c r="C22" s="14">
        <f>COUNTIFS(Parametreler!$E$2:$E$501,A22,Parametreler!$F$2:$F$501,"TBD")</f>
        <v/>
      </c>
      <c r="D22" s="14">
        <f>COUNTIF(Parametreler!$E$2:$E$501,A22)</f>
        <v/>
      </c>
      <c r="E22" s="16">
        <f>IF(D22=0,0,1-C22/D22)</f>
        <v/>
      </c>
    </row>
    <row r="23">
      <c r="A23" s="14" t="inlineStr">
        <is>
          <t>ChannelCount</t>
        </is>
      </c>
      <c r="B23" s="14" t="inlineStr">
        <is>
          <t>Parametreler</t>
        </is>
      </c>
      <c r="C23" s="14">
        <f>COUNTIFS(Parametreler!$E$2:$E$501,A23,Parametreler!$F$2:$F$501,"TBD")</f>
        <v/>
      </c>
      <c r="D23" s="14">
        <f>COUNTIF(Parametreler!$E$2:$E$501,A23)</f>
        <v/>
      </c>
      <c r="E23" s="16">
        <f>IF(D23=0,0,1-C23/D23)</f>
        <v/>
      </c>
    </row>
    <row r="24">
      <c r="A24" s="14" t="inlineStr">
        <is>
          <t>ChannelType</t>
        </is>
      </c>
      <c r="B24" s="14" t="inlineStr">
        <is>
          <t>Parametreler</t>
        </is>
      </c>
      <c r="C24" s="14">
        <f>COUNTIFS(Parametreler!$E$2:$E$501,A24,Parametreler!$F$2:$F$501,"TBD")</f>
        <v/>
      </c>
      <c r="D24" s="14">
        <f>COUNTIF(Parametreler!$E$2:$E$501,A24)</f>
        <v/>
      </c>
      <c r="E24" s="16">
        <f>IF(D24=0,0,1-C24/D24)</f>
        <v/>
      </c>
    </row>
    <row r="25">
      <c r="A25" s="14" t="inlineStr">
        <is>
          <t>Chemistry</t>
        </is>
      </c>
      <c r="B25" s="14" t="inlineStr">
        <is>
          <t>Parametreler</t>
        </is>
      </c>
      <c r="C25" s="14">
        <f>COUNTIFS(Parametreler!$E$2:$E$501,A25,Parametreler!$F$2:$F$501,"TBD")</f>
        <v/>
      </c>
      <c r="D25" s="14">
        <f>COUNTIF(Parametreler!$E$2:$E$501,A25)</f>
        <v/>
      </c>
      <c r="E25" s="16">
        <f>IF(D25=0,0,1-C25/D25)</f>
        <v/>
      </c>
    </row>
    <row r="26">
      <c r="A26" s="14" t="inlineStr">
        <is>
          <t>ClampingVoltage</t>
        </is>
      </c>
      <c r="B26" s="14" t="inlineStr">
        <is>
          <t>Parametreler</t>
        </is>
      </c>
      <c r="C26" s="14">
        <f>COUNTIFS(Parametreler!$E$2:$E$501,A26,Parametreler!$F$2:$F$501,"TBD")</f>
        <v/>
      </c>
      <c r="D26" s="14">
        <f>COUNTIF(Parametreler!$E$2:$E$501,A26)</f>
        <v/>
      </c>
      <c r="E26" s="16">
        <f>IF(D26=0,0,1-C26/D26)</f>
        <v/>
      </c>
    </row>
    <row r="27">
      <c r="A27" s="14" t="inlineStr">
        <is>
          <t>ClockFrequency</t>
        </is>
      </c>
      <c r="B27" s="14" t="inlineStr">
        <is>
          <t>Parametreler</t>
        </is>
      </c>
      <c r="C27" s="14">
        <f>COUNTIFS(Parametreler!$E$2:$E$501,A27,Parametreler!$F$2:$F$501,"TBD")</f>
        <v/>
      </c>
      <c r="D27" s="14">
        <f>COUNTIF(Parametreler!$E$2:$E$501,A27)</f>
        <v/>
      </c>
      <c r="E27" s="16">
        <f>IF(D27=0,0,1-C27/D27)</f>
        <v/>
      </c>
    </row>
    <row r="28">
      <c r="A28" s="14" t="inlineStr">
        <is>
          <t>Color</t>
        </is>
      </c>
      <c r="B28" s="14" t="inlineStr">
        <is>
          <t>Parametreler</t>
        </is>
      </c>
      <c r="C28" s="14">
        <f>COUNTIFS(Parametreler!$E$2:$E$501,A28,Parametreler!$F$2:$F$501,"TBD")</f>
        <v/>
      </c>
      <c r="D28" s="14">
        <f>COUNTIF(Parametreler!$E$2:$E$501,A28)</f>
        <v/>
      </c>
      <c r="E28" s="16">
        <f>IF(D28=0,0,1-C28/D28)</f>
        <v/>
      </c>
    </row>
    <row r="29">
      <c r="A29" s="14" t="inlineStr">
        <is>
          <t>Composition</t>
        </is>
      </c>
      <c r="B29" s="14" t="inlineStr">
        <is>
          <t>Parametreler</t>
        </is>
      </c>
      <c r="C29" s="14">
        <f>COUNTIFS(Parametreler!$E$2:$E$501,A29,Parametreler!$F$2:$F$501,"TBD")</f>
        <v/>
      </c>
      <c r="D29" s="14">
        <f>COUNTIF(Parametreler!$E$2:$E$501,A29)</f>
        <v/>
      </c>
      <c r="E29" s="16">
        <f>IF(D29=0,0,1-C29/D29)</f>
        <v/>
      </c>
    </row>
    <row r="30">
      <c r="A30" s="14" t="inlineStr">
        <is>
          <t>ConnectorType</t>
        </is>
      </c>
      <c r="B30" s="14" t="inlineStr">
        <is>
          <t>Parametreler</t>
        </is>
      </c>
      <c r="C30" s="14">
        <f>COUNTIFS(Parametreler!$E$2:$E$501,A30,Parametreler!$F$2:$F$501,"TBD")</f>
        <v/>
      </c>
      <c r="D30" s="14">
        <f>COUNTIF(Parametreler!$E$2:$E$501,A30)</f>
        <v/>
      </c>
      <c r="E30" s="16">
        <f>IF(D30=0,0,1-C30/D30)</f>
        <v/>
      </c>
    </row>
    <row r="31">
      <c r="A31" s="14" t="inlineStr">
        <is>
          <t>ContactPlating</t>
        </is>
      </c>
      <c r="B31" s="14" t="inlineStr">
        <is>
          <t>Parametreler</t>
        </is>
      </c>
      <c r="C31" s="14">
        <f>COUNTIFS(Parametreler!$E$2:$E$501,A31,Parametreler!$F$2:$F$501,"TBD")</f>
        <v/>
      </c>
      <c r="D31" s="14">
        <f>COUNTIF(Parametreler!$E$2:$E$501,A31)</f>
        <v/>
      </c>
      <c r="E31" s="16">
        <f>IF(D31=0,0,1-C31/D31)</f>
        <v/>
      </c>
    </row>
    <row r="32">
      <c r="A32" s="14" t="inlineStr">
        <is>
          <t>ContinuousCurrent</t>
        </is>
      </c>
      <c r="B32" s="14" t="inlineStr">
        <is>
          <t>Parametreler</t>
        </is>
      </c>
      <c r="C32" s="14">
        <f>COUNTIFS(Parametreler!$E$2:$E$501,A32,Parametreler!$F$2:$F$501,"TBD")</f>
        <v/>
      </c>
      <c r="D32" s="14">
        <f>COUNTIF(Parametreler!$E$2:$E$501,A32)</f>
        <v/>
      </c>
      <c r="E32" s="16">
        <f>IF(D32=0,0,1-C32/D32)</f>
        <v/>
      </c>
    </row>
    <row r="33">
      <c r="A33" s="14" t="inlineStr">
        <is>
          <t>ControlLogic</t>
        </is>
      </c>
      <c r="B33" s="14" t="inlineStr">
        <is>
          <t>Parametreler</t>
        </is>
      </c>
      <c r="C33" s="14">
        <f>COUNTIFS(Parametreler!$E$2:$E$501,A33,Parametreler!$F$2:$F$501,"TBD")</f>
        <v/>
      </c>
      <c r="D33" s="14">
        <f>COUNTIF(Parametreler!$E$2:$E$501,A33)</f>
        <v/>
      </c>
      <c r="E33" s="16">
        <f>IF(D33=0,0,1-C33/D33)</f>
        <v/>
      </c>
    </row>
    <row r="34">
      <c r="A34" s="14" t="inlineStr">
        <is>
          <t>ControlMode</t>
        </is>
      </c>
      <c r="B34" s="14" t="inlineStr">
        <is>
          <t>Parametreler</t>
        </is>
      </c>
      <c r="C34" s="14">
        <f>COUNTIFS(Parametreler!$E$2:$E$501,A34,Parametreler!$F$2:$F$501,"TBD")</f>
        <v/>
      </c>
      <c r="D34" s="14">
        <f>COUNTIF(Parametreler!$E$2:$E$501,A34)</f>
        <v/>
      </c>
      <c r="E34" s="16">
        <f>IF(D34=0,0,1-C34/D34)</f>
        <v/>
      </c>
    </row>
    <row r="35">
      <c r="A35" s="14" t="inlineStr">
        <is>
          <t>CoreArchitecture</t>
        </is>
      </c>
      <c r="B35" s="14" t="inlineStr">
        <is>
          <t>Parametreler</t>
        </is>
      </c>
      <c r="C35" s="14">
        <f>COUNTIFS(Parametreler!$E$2:$E$501,A35,Parametreler!$F$2:$F$501,"TBD")</f>
        <v/>
      </c>
      <c r="D35" s="14">
        <f>COUNTIF(Parametreler!$E$2:$E$501,A35)</f>
        <v/>
      </c>
      <c r="E35" s="16">
        <f>IF(D35=0,0,1-C35/D35)</f>
        <v/>
      </c>
    </row>
    <row r="36">
      <c r="A36" s="14" t="inlineStr">
        <is>
          <t>CurrentID</t>
        </is>
      </c>
      <c r="B36" s="14" t="inlineStr">
        <is>
          <t>Parametreler</t>
        </is>
      </c>
      <c r="C36" s="14">
        <f>COUNTIFS(Parametreler!$E$2:$E$501,A36,Parametreler!$F$2:$F$501,"TBD")</f>
        <v/>
      </c>
      <c r="D36" s="14">
        <f>COUNTIF(Parametreler!$E$2:$E$501,A36)</f>
        <v/>
      </c>
      <c r="E36" s="16">
        <f>IF(D36=0,0,1-C36/D36)</f>
        <v/>
      </c>
    </row>
    <row r="37">
      <c r="A37" s="14" t="inlineStr">
        <is>
          <t>CurrentRMS</t>
        </is>
      </c>
      <c r="B37" s="14" t="inlineStr">
        <is>
          <t>Parametreler</t>
        </is>
      </c>
      <c r="C37" s="14">
        <f>COUNTIFS(Parametreler!$E$2:$E$501,A37,Parametreler!$F$2:$F$501,"TBD")</f>
        <v/>
      </c>
      <c r="D37" s="14">
        <f>COUNTIF(Parametreler!$E$2:$E$501,A37)</f>
        <v/>
      </c>
      <c r="E37" s="16">
        <f>IF(D37=0,0,1-C37/D37)</f>
        <v/>
      </c>
    </row>
    <row r="38">
      <c r="A38" s="14" t="inlineStr">
        <is>
          <t>CurrentRating</t>
        </is>
      </c>
      <c r="B38" s="14" t="inlineStr">
        <is>
          <t>Parametreler</t>
        </is>
      </c>
      <c r="C38" s="14">
        <f>COUNTIFS(Parametreler!$E$2:$E$501,A38,Parametreler!$F$2:$F$501,"TBD")</f>
        <v/>
      </c>
      <c r="D38" s="14">
        <f>COUNTIF(Parametreler!$E$2:$E$501,A38)</f>
        <v/>
      </c>
      <c r="E38" s="16">
        <f>IF(D38=0,0,1-C38/D38)</f>
        <v/>
      </c>
    </row>
    <row r="39">
      <c r="A39" s="14" t="inlineStr">
        <is>
          <t>CurrentSaturation</t>
        </is>
      </c>
      <c r="B39" s="14" t="inlineStr">
        <is>
          <t>Parametreler</t>
        </is>
      </c>
      <c r="C39" s="14">
        <f>COUNTIFS(Parametreler!$E$2:$E$501,A39,Parametreler!$F$2:$F$501,"TBD")</f>
        <v/>
      </c>
      <c r="D39" s="14">
        <f>COUNTIF(Parametreler!$E$2:$E$501,A39)</f>
        <v/>
      </c>
      <c r="E39" s="16">
        <f>IF(D39=0,0,1-C39/D39)</f>
        <v/>
      </c>
    </row>
    <row r="40">
      <c r="A40" s="14" t="inlineStr">
        <is>
          <t>DCR</t>
        </is>
      </c>
      <c r="B40" s="14" t="inlineStr">
        <is>
          <t>Parametreler</t>
        </is>
      </c>
      <c r="C40" s="14">
        <f>COUNTIFS(Parametreler!$E$2:$E$501,A40,Parametreler!$F$2:$F$501,"TBD")</f>
        <v/>
      </c>
      <c r="D40" s="14">
        <f>COUNTIF(Parametreler!$E$2:$E$501,A40)</f>
        <v/>
      </c>
      <c r="E40" s="16">
        <f>IF(D40=0,0,1-C40/D40)</f>
        <v/>
      </c>
    </row>
    <row r="41">
      <c r="A41" s="14" t="inlineStr">
        <is>
          <t>Detents</t>
        </is>
      </c>
      <c r="B41" s="14" t="inlineStr">
        <is>
          <t>Parametreler</t>
        </is>
      </c>
      <c r="C41" s="14">
        <f>COUNTIFS(Parametreler!$E$2:$E$501,A41,Parametreler!$F$2:$F$501,"TBD")</f>
        <v/>
      </c>
      <c r="D41" s="14">
        <f>COUNTIF(Parametreler!$E$2:$E$501,A41)</f>
        <v/>
      </c>
      <c r="E41" s="16">
        <f>IF(D41=0,0,1-C41/D41)</f>
        <v/>
      </c>
    </row>
    <row r="42">
      <c r="A42" s="14" t="inlineStr">
        <is>
          <t>Dielectric</t>
        </is>
      </c>
      <c r="B42" s="14" t="inlineStr">
        <is>
          <t>Parametreler</t>
        </is>
      </c>
      <c r="C42" s="14">
        <f>COUNTIFS(Parametreler!$E$2:$E$501,A42,Parametreler!$F$2:$F$501,"TBD")</f>
        <v/>
      </c>
      <c r="D42" s="14">
        <f>COUNTIF(Parametreler!$E$2:$E$501,A42)</f>
        <v/>
      </c>
      <c r="E42" s="16">
        <f>IF(D42=0,0,1-C42/D42)</f>
        <v/>
      </c>
    </row>
    <row r="43">
      <c r="A43" s="14" t="inlineStr">
        <is>
          <t>DiodeType</t>
        </is>
      </c>
      <c r="B43" s="14" t="inlineStr">
        <is>
          <t>Parametreler</t>
        </is>
      </c>
      <c r="C43" s="14">
        <f>COUNTIFS(Parametreler!$E$2:$E$501,A43,Parametreler!$F$2:$F$501,"TBD")</f>
        <v/>
      </c>
      <c r="D43" s="14">
        <f>COUNTIF(Parametreler!$E$2:$E$501,A43)</f>
        <v/>
      </c>
      <c r="E43" s="16">
        <f>IF(D43=0,0,1-C43/D43)</f>
        <v/>
      </c>
    </row>
    <row r="44">
      <c r="A44" s="14" t="inlineStr">
        <is>
          <t>EffectiveCapacitance</t>
        </is>
      </c>
      <c r="B44" s="14" t="inlineStr">
        <is>
          <t>Parametreler</t>
        </is>
      </c>
      <c r="C44" s="14">
        <f>COUNTIFS(Parametreler!$E$2:$E$501,A44,Parametreler!$F$2:$F$501,"TBD")</f>
        <v/>
      </c>
      <c r="D44" s="14">
        <f>COUNTIF(Parametreler!$E$2:$E$501,A44)</f>
        <v/>
      </c>
      <c r="E44" s="16">
        <f>IF(D44=0,0,1-C44/D44)</f>
        <v/>
      </c>
    </row>
    <row r="45">
      <c r="A45" s="14" t="inlineStr">
        <is>
          <t>FlashSize</t>
        </is>
      </c>
      <c r="B45" s="14" t="inlineStr">
        <is>
          <t>Parametreler</t>
        </is>
      </c>
      <c r="C45" s="14">
        <f>COUNTIFS(Parametreler!$E$2:$E$501,A45,Parametreler!$F$2:$F$501,"TBD")</f>
        <v/>
      </c>
      <c r="D45" s="14">
        <f>COUNTIF(Parametreler!$E$2:$E$501,A45)</f>
        <v/>
      </c>
      <c r="E45" s="16">
        <f>IF(D45=0,0,1-C45/D45)</f>
        <v/>
      </c>
    </row>
    <row r="46">
      <c r="A46" s="14" t="inlineStr">
        <is>
          <t>ForwardCurrent</t>
        </is>
      </c>
      <c r="B46" s="14" t="inlineStr">
        <is>
          <t>Parametreler</t>
        </is>
      </c>
      <c r="C46" s="14">
        <f>COUNTIFS(Parametreler!$E$2:$E$501,A46,Parametreler!$F$2:$F$501,"TBD")</f>
        <v/>
      </c>
      <c r="D46" s="14">
        <f>COUNTIF(Parametreler!$E$2:$E$501,A46)</f>
        <v/>
      </c>
      <c r="E46" s="16">
        <f>IF(D46=0,0,1-C46/D46)</f>
        <v/>
      </c>
    </row>
    <row r="47">
      <c r="A47" s="14" t="inlineStr">
        <is>
          <t>ForwardVoltage</t>
        </is>
      </c>
      <c r="B47" s="14" t="inlineStr">
        <is>
          <t>Parametreler</t>
        </is>
      </c>
      <c r="C47" s="14">
        <f>COUNTIFS(Parametreler!$E$2:$E$501,A47,Parametreler!$F$2:$F$501,"TBD")</f>
        <v/>
      </c>
      <c r="D47" s="14">
        <f>COUNTIF(Parametreler!$E$2:$E$501,A47)</f>
        <v/>
      </c>
      <c r="E47" s="16">
        <f>IF(D47=0,0,1-C47/D47)</f>
        <v/>
      </c>
    </row>
    <row r="48">
      <c r="A48" s="14" t="inlineStr">
        <is>
          <t>Function</t>
        </is>
      </c>
      <c r="B48" s="14" t="inlineStr">
        <is>
          <t>Parametreler</t>
        </is>
      </c>
      <c r="C48" s="14">
        <f>COUNTIFS(Parametreler!$E$2:$E$501,A48,Parametreler!$F$2:$F$501,"TBD")</f>
        <v/>
      </c>
      <c r="D48" s="14">
        <f>COUNTIF(Parametreler!$E$2:$E$501,A48)</f>
        <v/>
      </c>
      <c r="E48" s="16">
        <f>IF(D48=0,0,1-C48/D48)</f>
        <v/>
      </c>
    </row>
    <row r="49">
      <c r="A49" s="14" t="inlineStr">
        <is>
          <t>GainBandwidth</t>
        </is>
      </c>
      <c r="B49" s="14" t="inlineStr">
        <is>
          <t>Parametreler</t>
        </is>
      </c>
      <c r="C49" s="14">
        <f>COUNTIFS(Parametreler!$E$2:$E$501,A49,Parametreler!$F$2:$F$501,"TBD")</f>
        <v/>
      </c>
      <c r="D49" s="14">
        <f>COUNTIF(Parametreler!$E$2:$E$501,A49)</f>
        <v/>
      </c>
      <c r="E49" s="16">
        <f>IF(D49=0,0,1-C49/D49)</f>
        <v/>
      </c>
    </row>
    <row r="50">
      <c r="A50" s="14" t="inlineStr">
        <is>
          <t>GateCharge</t>
        </is>
      </c>
      <c r="B50" s="14" t="inlineStr">
        <is>
          <t>Parametreler</t>
        </is>
      </c>
      <c r="C50" s="14">
        <f>COUNTIFS(Parametreler!$E$2:$E$501,A50,Parametreler!$F$2:$F$501,"TBD")</f>
        <v/>
      </c>
      <c r="D50" s="14">
        <f>COUNTIF(Parametreler!$E$2:$E$501,A50)</f>
        <v/>
      </c>
      <c r="E50" s="16">
        <f>IF(D50=0,0,1-C50/D50)</f>
        <v/>
      </c>
    </row>
    <row r="51">
      <c r="A51" s="14" t="inlineStr">
        <is>
          <t>HardwareType</t>
        </is>
      </c>
      <c r="B51" s="14" t="inlineStr">
        <is>
          <t>Parametreler</t>
        </is>
      </c>
      <c r="C51" s="14">
        <f>COUNTIFS(Parametreler!$E$2:$E$501,A51,Parametreler!$F$2:$F$501,"TBD")</f>
        <v/>
      </c>
      <c r="D51" s="14">
        <f>COUNTIF(Parametreler!$E$2:$E$501,A51)</f>
        <v/>
      </c>
      <c r="E51" s="16">
        <f>IF(D51=0,0,1-C51/D51)</f>
        <v/>
      </c>
    </row>
    <row r="52">
      <c r="A52" s="14" t="inlineStr">
        <is>
          <t>HolderMounting</t>
        </is>
      </c>
      <c r="B52" s="14" t="inlineStr">
        <is>
          <t>Parametreler</t>
        </is>
      </c>
      <c r="C52" s="14">
        <f>COUNTIFS(Parametreler!$E$2:$E$501,A52,Parametreler!$F$2:$F$501,"TBD")</f>
        <v/>
      </c>
      <c r="D52" s="14">
        <f>COUNTIF(Parametreler!$E$2:$E$501,A52)</f>
        <v/>
      </c>
      <c r="E52" s="16">
        <f>IF(D52=0,0,1-C52/D52)</f>
        <v/>
      </c>
    </row>
    <row r="53">
      <c r="A53" s="14" t="inlineStr">
        <is>
          <t>HostInterface</t>
        </is>
      </c>
      <c r="B53" s="14" t="inlineStr">
        <is>
          <t>Parametreler</t>
        </is>
      </c>
      <c r="C53" s="14">
        <f>COUNTIFS(Parametreler!$E$2:$E$501,A53,Parametreler!$F$2:$F$501,"TBD")</f>
        <v/>
      </c>
      <c r="D53" s="14">
        <f>COUNTIF(Parametreler!$E$2:$E$501,A53)</f>
        <v/>
      </c>
      <c r="E53" s="16">
        <f>IF(D53=0,0,1-C53/D53)</f>
        <v/>
      </c>
    </row>
    <row r="54">
      <c r="A54" s="14" t="inlineStr">
        <is>
          <t>IOCount</t>
        </is>
      </c>
      <c r="B54" s="14" t="inlineStr">
        <is>
          <t>Parametreler</t>
        </is>
      </c>
      <c r="C54" s="14">
        <f>COUNTIFS(Parametreler!$E$2:$E$501,A54,Parametreler!$F$2:$F$501,"TBD")</f>
        <v/>
      </c>
      <c r="D54" s="14">
        <f>COUNTIF(Parametreler!$E$2:$E$501,A54)</f>
        <v/>
      </c>
      <c r="E54" s="16">
        <f>IF(D54=0,0,1-C54/D54)</f>
        <v/>
      </c>
    </row>
    <row r="55">
      <c r="A55" s="14" t="inlineStr">
        <is>
          <t>InputOffsetVoltage</t>
        </is>
      </c>
      <c r="B55" s="14" t="inlineStr">
        <is>
          <t>Parametreler</t>
        </is>
      </c>
      <c r="C55" s="14">
        <f>COUNTIFS(Parametreler!$E$2:$E$501,A55,Parametreler!$F$2:$F$501,"TBD")</f>
        <v/>
      </c>
      <c r="D55" s="14">
        <f>COUNTIF(Parametreler!$E$2:$E$501,A55)</f>
        <v/>
      </c>
      <c r="E55" s="16">
        <f>IF(D55=0,0,1-C55/D55)</f>
        <v/>
      </c>
    </row>
    <row r="56">
      <c r="A56" s="14" t="inlineStr">
        <is>
          <t>InputVoltage</t>
        </is>
      </c>
      <c r="B56" s="14" t="inlineStr">
        <is>
          <t>Parametreler</t>
        </is>
      </c>
      <c r="C56" s="14">
        <f>COUNTIFS(Parametreler!$E$2:$E$501,A56,Parametreler!$F$2:$F$501,"TBD")</f>
        <v/>
      </c>
      <c r="D56" s="14">
        <f>COUNTIF(Parametreler!$E$2:$E$501,A56)</f>
        <v/>
      </c>
      <c r="E56" s="16">
        <f>IF(D56=0,0,1-C56/D56)</f>
        <v/>
      </c>
    </row>
    <row r="57">
      <c r="A57" s="14" t="inlineStr">
        <is>
          <t>IntegratedFET</t>
        </is>
      </c>
      <c r="B57" s="14" t="inlineStr">
        <is>
          <t>Parametreler</t>
        </is>
      </c>
      <c r="C57" s="14">
        <f>COUNTIFS(Parametreler!$E$2:$E$501,A57,Parametreler!$F$2:$F$501,"TBD")</f>
        <v/>
      </c>
      <c r="D57" s="14">
        <f>COUNTIF(Parametreler!$E$2:$E$501,A57)</f>
        <v/>
      </c>
      <c r="E57" s="16">
        <f>IF(D57=0,0,1-C57/D57)</f>
        <v/>
      </c>
    </row>
    <row r="58">
      <c r="A58" s="14" t="inlineStr">
        <is>
          <t>IntegratedSwitch</t>
        </is>
      </c>
      <c r="B58" s="14" t="inlineStr">
        <is>
          <t>Parametreler</t>
        </is>
      </c>
      <c r="C58" s="14">
        <f>COUNTIFS(Parametreler!$E$2:$E$501,A58,Parametreler!$F$2:$F$501,"TBD")</f>
        <v/>
      </c>
      <c r="D58" s="14">
        <f>COUNTIF(Parametreler!$E$2:$E$501,A58)</f>
        <v/>
      </c>
      <c r="E58" s="16">
        <f>IF(D58=0,0,1-C58/D58)</f>
        <v/>
      </c>
    </row>
    <row r="59">
      <c r="A59" s="14" t="inlineStr">
        <is>
          <t>InterfaceType</t>
        </is>
      </c>
      <c r="B59" s="14" t="inlineStr">
        <is>
          <t>Parametreler</t>
        </is>
      </c>
      <c r="C59" s="14">
        <f>COUNTIFS(Parametreler!$E$2:$E$501,A59,Parametreler!$F$2:$F$501,"TBD")</f>
        <v/>
      </c>
      <c r="D59" s="14">
        <f>COUNTIF(Parametreler!$E$2:$E$501,A59)</f>
        <v/>
      </c>
      <c r="E59" s="16">
        <f>IF(D59=0,0,1-C59/D59)</f>
        <v/>
      </c>
    </row>
    <row r="60">
      <c r="A60" s="14" t="inlineStr">
        <is>
          <t>LensType</t>
        </is>
      </c>
      <c r="B60" s="14" t="inlineStr">
        <is>
          <t>Parametreler</t>
        </is>
      </c>
      <c r="C60" s="14">
        <f>COUNTIFS(Parametreler!$E$2:$E$501,A60,Parametreler!$F$2:$F$501,"TBD")</f>
        <v/>
      </c>
      <c r="D60" s="14">
        <f>COUNTIF(Parametreler!$E$2:$E$501,A60)</f>
        <v/>
      </c>
      <c r="E60" s="16">
        <f>IF(D60=0,0,1-C60/D60)</f>
        <v/>
      </c>
    </row>
    <row r="61">
      <c r="A61" s="14" t="inlineStr">
        <is>
          <t>LogicFamily</t>
        </is>
      </c>
      <c r="B61" s="14" t="inlineStr">
        <is>
          <t>Parametreler</t>
        </is>
      </c>
      <c r="C61" s="14">
        <f>COUNTIFS(Parametreler!$E$2:$E$501,A61,Parametreler!$F$2:$F$501,"TBD")</f>
        <v/>
      </c>
      <c r="D61" s="14">
        <f>COUNTIF(Parametreler!$E$2:$E$501,A61)</f>
        <v/>
      </c>
      <c r="E61" s="16">
        <f>IF(D61=0,0,1-C61/D61)</f>
        <v/>
      </c>
    </row>
    <row r="62">
      <c r="A62" s="14" t="inlineStr">
        <is>
          <t>LuminousIntensity</t>
        </is>
      </c>
      <c r="B62" s="14" t="inlineStr">
        <is>
          <t>Parametreler</t>
        </is>
      </c>
      <c r="C62" s="14">
        <f>COUNTIFS(Parametreler!$E$2:$E$501,A62,Parametreler!$F$2:$F$501,"TBD")</f>
        <v/>
      </c>
      <c r="D62" s="14">
        <f>COUNTIF(Parametreler!$E$2:$E$501,A62)</f>
        <v/>
      </c>
      <c r="E62" s="16">
        <f>IF(D62=0,0,1-C62/D62)</f>
        <v/>
      </c>
    </row>
    <row r="63">
      <c r="A63" s="14" t="inlineStr">
        <is>
          <t>MatingCycles</t>
        </is>
      </c>
      <c r="B63" s="14" t="inlineStr">
        <is>
          <t>Parametreler</t>
        </is>
      </c>
      <c r="C63" s="14">
        <f>COUNTIFS(Parametreler!$E$2:$E$501,A63,Parametreler!$F$2:$F$501,"TBD")</f>
        <v/>
      </c>
      <c r="D63" s="14">
        <f>COUNTIF(Parametreler!$E$2:$E$501,A63)</f>
        <v/>
      </c>
      <c r="E63" s="16">
        <f>IF(D63=0,0,1-C63/D63)</f>
        <v/>
      </c>
    </row>
    <row r="64">
      <c r="A64" s="14" t="inlineStr">
        <is>
          <t>MaxCurrent</t>
        </is>
      </c>
      <c r="B64" s="14" t="inlineStr">
        <is>
          <t>Parametreler</t>
        </is>
      </c>
      <c r="C64" s="14">
        <f>COUNTIFS(Parametreler!$E$2:$E$501,A64,Parametreler!$F$2:$F$501,"TBD")</f>
        <v/>
      </c>
      <c r="D64" s="14">
        <f>COUNTIF(Parametreler!$E$2:$E$501,A64)</f>
        <v/>
      </c>
      <c r="E64" s="16">
        <f>IF(D64=0,0,1-C64/D64)</f>
        <v/>
      </c>
    </row>
    <row r="65">
      <c r="A65" s="14" t="inlineStr">
        <is>
          <t>MaxVoltage</t>
        </is>
      </c>
      <c r="B65" s="14" t="inlineStr">
        <is>
          <t>Parametreler</t>
        </is>
      </c>
      <c r="C65" s="14">
        <f>COUNTIFS(Parametreler!$E$2:$E$501,A65,Parametreler!$F$2:$F$501,"TBD")</f>
        <v/>
      </c>
      <c r="D65" s="14">
        <f>COUNTIF(Parametreler!$E$2:$E$501,A65)</f>
        <v/>
      </c>
      <c r="E65" s="16">
        <f>IF(D65=0,0,1-C65/D65)</f>
        <v/>
      </c>
    </row>
    <row r="66">
      <c r="A66" s="14" t="inlineStr">
        <is>
          <t>ModuleDimensions</t>
        </is>
      </c>
      <c r="B66" s="14" t="inlineStr">
        <is>
          <t>Parametreler</t>
        </is>
      </c>
      <c r="C66" s="14">
        <f>COUNTIFS(Parametreler!$E$2:$E$501,A66,Parametreler!$F$2:$F$501,"TBD")</f>
        <v/>
      </c>
      <c r="D66" s="14">
        <f>COUNTIF(Parametreler!$E$2:$E$501,A66)</f>
        <v/>
      </c>
      <c r="E66" s="16">
        <f>IF(D66=0,0,1-C66/D66)</f>
        <v/>
      </c>
    </row>
    <row r="67">
      <c r="A67" s="14" t="inlineStr">
        <is>
          <t>NominalVoltage</t>
        </is>
      </c>
      <c r="B67" s="14" t="inlineStr">
        <is>
          <t>Parametreler</t>
        </is>
      </c>
      <c r="C67" s="14">
        <f>COUNTIFS(Parametreler!$E$2:$E$501,A67,Parametreler!$F$2:$F$501,"TBD")</f>
        <v/>
      </c>
      <c r="D67" s="14">
        <f>COUNTIF(Parametreler!$E$2:$E$501,A67)</f>
        <v/>
      </c>
      <c r="E67" s="16">
        <f>IF(D67=0,0,1-C67/D67)</f>
        <v/>
      </c>
    </row>
    <row r="68">
      <c r="A68" s="14" t="inlineStr">
        <is>
          <t>Orientation</t>
        </is>
      </c>
      <c r="B68" s="14" t="inlineStr">
        <is>
          <t>Parametreler</t>
        </is>
      </c>
      <c r="C68" s="14">
        <f>COUNTIFS(Parametreler!$E$2:$E$501,A68,Parametreler!$F$2:$F$501,"TBD")</f>
        <v/>
      </c>
      <c r="D68" s="14">
        <f>COUNTIF(Parametreler!$E$2:$E$501,A68)</f>
        <v/>
      </c>
      <c r="E68" s="16">
        <f>IF(D68=0,0,1-C68/D68)</f>
        <v/>
      </c>
    </row>
    <row r="69">
      <c r="A69" s="14" t="inlineStr">
        <is>
          <t>OutputCurrent</t>
        </is>
      </c>
      <c r="B69" s="14" t="inlineStr">
        <is>
          <t>Parametreler</t>
        </is>
      </c>
      <c r="C69" s="14">
        <f>COUNTIFS(Parametreler!$E$2:$E$501,A69,Parametreler!$F$2:$F$501,"TBD")</f>
        <v/>
      </c>
      <c r="D69" s="14">
        <f>COUNTIF(Parametreler!$E$2:$E$501,A69)</f>
        <v/>
      </c>
      <c r="E69" s="16">
        <f>IF(D69=0,0,1-C69/D69)</f>
        <v/>
      </c>
    </row>
    <row r="70">
      <c r="A70" s="14" t="inlineStr">
        <is>
          <t>OutputType</t>
        </is>
      </c>
      <c r="B70" s="14" t="inlineStr">
        <is>
          <t>Parametreler</t>
        </is>
      </c>
      <c r="C70" s="14">
        <f>COUNTIFS(Parametreler!$E$2:$E$501,A70,Parametreler!$F$2:$F$501,"TBD")</f>
        <v/>
      </c>
      <c r="D70" s="14">
        <f>COUNTIF(Parametreler!$E$2:$E$501,A70)</f>
        <v/>
      </c>
      <c r="E70" s="16">
        <f>IF(D70=0,0,1-C70/D70)</f>
        <v/>
      </c>
    </row>
    <row r="71">
      <c r="A71" s="14" t="inlineStr">
        <is>
          <t>OutputVoltage</t>
        </is>
      </c>
      <c r="B71" s="14" t="inlineStr">
        <is>
          <t>Parametreler</t>
        </is>
      </c>
      <c r="C71" s="14">
        <f>COUNTIFS(Parametreler!$E$2:$E$501,A71,Parametreler!$F$2:$F$501,"TBD")</f>
        <v/>
      </c>
      <c r="D71" s="14">
        <f>COUNTIF(Parametreler!$E$2:$E$501,A71)</f>
        <v/>
      </c>
      <c r="E71" s="16">
        <f>IF(D71=0,0,1-C71/D71)</f>
        <v/>
      </c>
    </row>
    <row r="72">
      <c r="A72" s="14" t="inlineStr">
        <is>
          <t>PadDiameter</t>
        </is>
      </c>
      <c r="B72" s="14" t="inlineStr">
        <is>
          <t>Parametreler</t>
        </is>
      </c>
      <c r="C72" s="14">
        <f>COUNTIFS(Parametreler!$E$2:$E$501,A72,Parametreler!$F$2:$F$501,"TBD")</f>
        <v/>
      </c>
      <c r="D72" s="14">
        <f>COUNTIF(Parametreler!$E$2:$E$501,A72)</f>
        <v/>
      </c>
      <c r="E72" s="16">
        <f>IF(D72=0,0,1-C72/D72)</f>
        <v/>
      </c>
    </row>
    <row r="73">
      <c r="A73" s="14" t="inlineStr">
        <is>
          <t>PeakPulseCurrent</t>
        </is>
      </c>
      <c r="B73" s="14" t="inlineStr">
        <is>
          <t>Parametreler</t>
        </is>
      </c>
      <c r="C73" s="14">
        <f>COUNTIFS(Parametreler!$E$2:$E$501,A73,Parametreler!$F$2:$F$501,"TBD")</f>
        <v/>
      </c>
      <c r="D73" s="14">
        <f>COUNTIF(Parametreler!$E$2:$E$501,A73)</f>
        <v/>
      </c>
      <c r="E73" s="16">
        <f>IF(D73=0,0,1-C73/D73)</f>
        <v/>
      </c>
    </row>
    <row r="74">
      <c r="A74" s="14" t="inlineStr">
        <is>
          <t>PeripheralInterfaces</t>
        </is>
      </c>
      <c r="B74" s="14" t="inlineStr">
        <is>
          <t>Parametreler</t>
        </is>
      </c>
      <c r="C74" s="14">
        <f>COUNTIFS(Parametreler!$E$2:$E$501,A74,Parametreler!$F$2:$F$501,"TBD")</f>
        <v/>
      </c>
      <c r="D74" s="14">
        <f>COUNTIF(Parametreler!$E$2:$E$501,A74)</f>
        <v/>
      </c>
      <c r="E74" s="16">
        <f>IF(D74=0,0,1-C74/D74)</f>
        <v/>
      </c>
    </row>
    <row r="75">
      <c r="A75" s="14" t="inlineStr">
        <is>
          <t>PinCount</t>
        </is>
      </c>
      <c r="B75" s="14" t="inlineStr">
        <is>
          <t>Parametreler</t>
        </is>
      </c>
      <c r="C75" s="14">
        <f>COUNTIFS(Parametreler!$E$2:$E$501,A75,Parametreler!$F$2:$F$501,"TBD")</f>
        <v/>
      </c>
      <c r="D75" s="14">
        <f>COUNTIF(Parametreler!$E$2:$E$501,A75)</f>
        <v/>
      </c>
      <c r="E75" s="16">
        <f>IF(D75=0,0,1-C75/D75)</f>
        <v/>
      </c>
    </row>
    <row r="76">
      <c r="A76" s="14" t="inlineStr">
        <is>
          <t>Pitch</t>
        </is>
      </c>
      <c r="B76" s="14" t="inlineStr">
        <is>
          <t>Parametreler</t>
        </is>
      </c>
      <c r="C76" s="14">
        <f>COUNTIFS(Parametreler!$E$2:$E$501,A76,Parametreler!$F$2:$F$501,"TBD")</f>
        <v/>
      </c>
      <c r="D76" s="14">
        <f>COUNTIF(Parametreler!$E$2:$E$501,A76)</f>
        <v/>
      </c>
      <c r="E76" s="16">
        <f>IF(D76=0,0,1-C76/D76)</f>
        <v/>
      </c>
    </row>
    <row r="77">
      <c r="A77" s="14" t="inlineStr">
        <is>
          <t>Polarity</t>
        </is>
      </c>
      <c r="B77" s="14" t="inlineStr">
        <is>
          <t>Parametreler</t>
        </is>
      </c>
      <c r="C77" s="14">
        <f>COUNTIFS(Parametreler!$E$2:$E$501,A77,Parametreler!$F$2:$F$501,"TBD")</f>
        <v/>
      </c>
      <c r="D77" s="14">
        <f>COUNTIF(Parametreler!$E$2:$E$501,A77)</f>
        <v/>
      </c>
      <c r="E77" s="16">
        <f>IF(D77=0,0,1-C77/D77)</f>
        <v/>
      </c>
    </row>
    <row r="78">
      <c r="A78" s="14" t="inlineStr">
        <is>
          <t>PortRole</t>
        </is>
      </c>
      <c r="B78" s="14" t="inlineStr">
        <is>
          <t>Parametreler</t>
        </is>
      </c>
      <c r="C78" s="14">
        <f>COUNTIFS(Parametreler!$E$2:$E$501,A78,Parametreler!$F$2:$F$501,"TBD")</f>
        <v/>
      </c>
      <c r="D78" s="14">
        <f>COUNTIF(Parametreler!$E$2:$E$501,A78)</f>
        <v/>
      </c>
      <c r="E78" s="16">
        <f>IF(D78=0,0,1-C78/D78)</f>
        <v/>
      </c>
    </row>
    <row r="79">
      <c r="A79" s="14" t="inlineStr">
        <is>
          <t>PositionCount</t>
        </is>
      </c>
      <c r="B79" s="14" t="inlineStr">
        <is>
          <t>Parametreler</t>
        </is>
      </c>
      <c r="C79" s="14">
        <f>COUNTIFS(Parametreler!$E$2:$E$501,A79,Parametreler!$F$2:$F$501,"TBD")</f>
        <v/>
      </c>
      <c r="D79" s="14">
        <f>COUNTIF(Parametreler!$E$2:$E$501,A79)</f>
        <v/>
      </c>
      <c r="E79" s="16">
        <f>IF(D79=0,0,1-C79/D79)</f>
        <v/>
      </c>
    </row>
    <row r="80">
      <c r="A80" s="14" t="inlineStr">
        <is>
          <t>PowerDissipation</t>
        </is>
      </c>
      <c r="B80" s="14" t="inlineStr">
        <is>
          <t>Parametreler</t>
        </is>
      </c>
      <c r="C80" s="14">
        <f>COUNTIFS(Parametreler!$E$2:$E$501,A80,Parametreler!$F$2:$F$501,"TBD")</f>
        <v/>
      </c>
      <c r="D80" s="14">
        <f>COUNTIF(Parametreler!$E$2:$E$501,A80)</f>
        <v/>
      </c>
      <c r="E80" s="16">
        <f>IF(D80=0,0,1-C80/D80)</f>
        <v/>
      </c>
    </row>
    <row r="81">
      <c r="A81" s="14" t="inlineStr">
        <is>
          <t>PowerRating</t>
        </is>
      </c>
      <c r="B81" s="14" t="inlineStr">
        <is>
          <t>Parametreler</t>
        </is>
      </c>
      <c r="C81" s="14">
        <f>COUNTIFS(Parametreler!$E$2:$E$501,A81,Parametreler!$F$2:$F$501,"TBD")</f>
        <v/>
      </c>
      <c r="D81" s="14">
        <f>COUNTIF(Parametreler!$E$2:$E$501,A81)</f>
        <v/>
      </c>
      <c r="E81" s="16">
        <f>IF(D81=0,0,1-C81/D81)</f>
        <v/>
      </c>
    </row>
    <row r="82">
      <c r="A82" s="14" t="inlineStr">
        <is>
          <t>ProtectionFeatures</t>
        </is>
      </c>
      <c r="B82" s="14" t="inlineStr">
        <is>
          <t>Parametreler</t>
        </is>
      </c>
      <c r="C82" s="14">
        <f>COUNTIFS(Parametreler!$E$2:$E$501,A82,Parametreler!$F$2:$F$501,"TBD")</f>
        <v/>
      </c>
      <c r="D82" s="14">
        <f>COUNTIF(Parametreler!$E$2:$E$501,A82)</f>
        <v/>
      </c>
      <c r="E82" s="16">
        <f>IF(D82=0,0,1-C82/D82)</f>
        <v/>
      </c>
    </row>
    <row r="83">
      <c r="A83" s="14" t="inlineStr">
        <is>
          <t>Protocol</t>
        </is>
      </c>
      <c r="B83" s="14" t="inlineStr">
        <is>
          <t>Parametreler</t>
        </is>
      </c>
      <c r="C83" s="14">
        <f>COUNTIFS(Parametreler!$E$2:$E$501,A83,Parametreler!$F$2:$F$501,"TBD")</f>
        <v/>
      </c>
      <c r="D83" s="14">
        <f>COUNTIF(Parametreler!$E$2:$E$501,A83)</f>
        <v/>
      </c>
      <c r="E83" s="16">
        <f>IF(D83=0,0,1-C83/D83)</f>
        <v/>
      </c>
    </row>
    <row r="84">
      <c r="A84" s="14" t="inlineStr">
        <is>
          <t>PulsesPerRevolution</t>
        </is>
      </c>
      <c r="B84" s="14" t="inlineStr">
        <is>
          <t>Parametreler</t>
        </is>
      </c>
      <c r="C84" s="14">
        <f>COUNTIFS(Parametreler!$E$2:$E$501,A84,Parametreler!$F$2:$F$501,"TBD")</f>
        <v/>
      </c>
      <c r="D84" s="14">
        <f>COUNTIF(Parametreler!$E$2:$E$501,A84)</f>
        <v/>
      </c>
      <c r="E84" s="16">
        <f>IF(D84=0,0,1-C84/D84)</f>
        <v/>
      </c>
    </row>
    <row r="85">
      <c r="A85" s="14" t="inlineStr">
        <is>
          <t>RAMSize</t>
        </is>
      </c>
      <c r="B85" s="14" t="inlineStr">
        <is>
          <t>Parametreler</t>
        </is>
      </c>
      <c r="C85" s="14">
        <f>COUNTIFS(Parametreler!$E$2:$E$501,A85,Parametreler!$F$2:$F$501,"TBD")</f>
        <v/>
      </c>
      <c r="D85" s="14">
        <f>COUNTIF(Parametreler!$E$2:$E$501,A85)</f>
        <v/>
      </c>
      <c r="E85" s="16">
        <f>IF(D85=0,0,1-C85/D85)</f>
        <v/>
      </c>
    </row>
    <row r="86">
      <c r="A86" s="14" t="inlineStr">
        <is>
          <t>RailToRail</t>
        </is>
      </c>
      <c r="B86" s="14" t="inlineStr">
        <is>
          <t>Parametreler</t>
        </is>
      </c>
      <c r="C86" s="14">
        <f>COUNTIFS(Parametreler!$E$2:$E$501,A86,Parametreler!$F$2:$F$501,"TBD")</f>
        <v/>
      </c>
      <c r="D86" s="14">
        <f>COUNTIF(Parametreler!$E$2:$E$501,A86)</f>
        <v/>
      </c>
      <c r="E86" s="16">
        <f>IF(D86=0,0,1-C86/D86)</f>
        <v/>
      </c>
    </row>
    <row r="87">
      <c r="A87" s="14" t="inlineStr">
        <is>
          <t>RdsOn</t>
        </is>
      </c>
      <c r="B87" s="14" t="inlineStr">
        <is>
          <t>Parametreler</t>
        </is>
      </c>
      <c r="C87" s="14">
        <f>COUNTIFS(Parametreler!$E$2:$E$501,A87,Parametreler!$F$2:$F$501,"TBD")</f>
        <v/>
      </c>
      <c r="D87" s="14">
        <f>COUNTIF(Parametreler!$E$2:$E$501,A87)</f>
        <v/>
      </c>
      <c r="E87" s="16">
        <f>IF(D87=0,0,1-C87/D87)</f>
        <v/>
      </c>
    </row>
    <row r="88">
      <c r="A88" s="14" t="inlineStr">
        <is>
          <t>ReferenceType</t>
        </is>
      </c>
      <c r="B88" s="14" t="inlineStr">
        <is>
          <t>Parametreler</t>
        </is>
      </c>
      <c r="C88" s="14">
        <f>COUNTIFS(Parametreler!$E$2:$E$501,A88,Parametreler!$F$2:$F$501,"TBD")</f>
        <v/>
      </c>
      <c r="D88" s="14">
        <f>COUNTIF(Parametreler!$E$2:$E$501,A88)</f>
        <v/>
      </c>
      <c r="E88" s="16">
        <f>IF(D88=0,0,1-C88/D88)</f>
        <v/>
      </c>
    </row>
    <row r="89">
      <c r="A89" s="14" t="inlineStr">
        <is>
          <t>Resolution</t>
        </is>
      </c>
      <c r="B89" s="14" t="inlineStr">
        <is>
          <t>Parametreler</t>
        </is>
      </c>
      <c r="C89" s="14">
        <f>COUNTIFS(Parametreler!$E$2:$E$501,A89,Parametreler!$F$2:$F$501,"TBD")</f>
        <v/>
      </c>
      <c r="D89" s="14">
        <f>COUNTIF(Parametreler!$E$2:$E$501,A89)</f>
        <v/>
      </c>
      <c r="E89" s="16">
        <f>IF(D89=0,0,1-C89/D89)</f>
        <v/>
      </c>
    </row>
    <row r="90">
      <c r="A90" s="14" t="inlineStr">
        <is>
          <t>ReverseCurrent</t>
        </is>
      </c>
      <c r="B90" s="14" t="inlineStr">
        <is>
          <t>Parametreler</t>
        </is>
      </c>
      <c r="C90" s="14">
        <f>COUNTIFS(Parametreler!$E$2:$E$501,A90,Parametreler!$F$2:$F$501,"TBD")</f>
        <v/>
      </c>
      <c r="D90" s="14">
        <f>COUNTIF(Parametreler!$E$2:$E$501,A90)</f>
        <v/>
      </c>
      <c r="E90" s="16">
        <f>IF(D90=0,0,1-C90/D90)</f>
        <v/>
      </c>
    </row>
    <row r="91">
      <c r="A91" s="14" t="inlineStr">
        <is>
          <t>ReverseRecoveryTime</t>
        </is>
      </c>
      <c r="B91" s="14" t="inlineStr">
        <is>
          <t>Parametreler</t>
        </is>
      </c>
      <c r="C91" s="14">
        <f>COUNTIFS(Parametreler!$E$2:$E$501,A91,Parametreler!$F$2:$F$501,"TBD")</f>
        <v/>
      </c>
      <c r="D91" s="14">
        <f>COUNTIF(Parametreler!$E$2:$E$501,A91)</f>
        <v/>
      </c>
      <c r="E91" s="16">
        <f>IF(D91=0,0,1-C91/D91)</f>
        <v/>
      </c>
    </row>
    <row r="92">
      <c r="A92" s="14" t="inlineStr">
        <is>
          <t>ReverseVoltage</t>
        </is>
      </c>
      <c r="B92" s="14" t="inlineStr">
        <is>
          <t>Parametreler</t>
        </is>
      </c>
      <c r="C92" s="14">
        <f>COUNTIFS(Parametreler!$E$2:$E$501,A92,Parametreler!$F$2:$F$501,"TBD")</f>
        <v/>
      </c>
      <c r="D92" s="14">
        <f>COUNTIF(Parametreler!$E$2:$E$501,A92)</f>
        <v/>
      </c>
      <c r="E92" s="16">
        <f>IF(D92=0,0,1-C92/D92)</f>
        <v/>
      </c>
    </row>
    <row r="93">
      <c r="A93" s="14" t="inlineStr">
        <is>
          <t>RotationalLife</t>
        </is>
      </c>
      <c r="B93" s="14" t="inlineStr">
        <is>
          <t>Parametreler</t>
        </is>
      </c>
      <c r="C93" s="14">
        <f>COUNTIFS(Parametreler!$E$2:$E$501,A93,Parametreler!$F$2:$F$501,"TBD")</f>
        <v/>
      </c>
      <c r="D93" s="14">
        <f>COUNTIF(Parametreler!$E$2:$E$501,A93)</f>
        <v/>
      </c>
      <c r="E93" s="16">
        <f>IF(D93=0,0,1-C93/D93)</f>
        <v/>
      </c>
    </row>
    <row r="94">
      <c r="A94" s="14" t="inlineStr">
        <is>
          <t>RowCount</t>
        </is>
      </c>
      <c r="B94" s="14" t="inlineStr">
        <is>
          <t>Parametreler</t>
        </is>
      </c>
      <c r="C94" s="14">
        <f>COUNTIFS(Parametreler!$E$2:$E$501,A94,Parametreler!$F$2:$F$501,"TBD")</f>
        <v/>
      </c>
      <c r="D94" s="14">
        <f>COUNTIF(Parametreler!$E$2:$E$501,A94)</f>
        <v/>
      </c>
      <c r="E94" s="16">
        <f>IF(D94=0,0,1-C94/D94)</f>
        <v/>
      </c>
    </row>
    <row r="95">
      <c r="A95" s="14" t="inlineStr">
        <is>
          <t>SBUPins</t>
        </is>
      </c>
      <c r="B95" s="14" t="inlineStr">
        <is>
          <t>Parametreler</t>
        </is>
      </c>
      <c r="C95" s="14">
        <f>COUNTIFS(Parametreler!$E$2:$E$501,A95,Parametreler!$F$2:$F$501,"TBD")</f>
        <v/>
      </c>
      <c r="D95" s="14">
        <f>COUNTIF(Parametreler!$E$2:$E$501,A95)</f>
        <v/>
      </c>
      <c r="E95" s="16">
        <f>IF(D95=0,0,1-C95/D95)</f>
        <v/>
      </c>
    </row>
    <row r="96">
      <c r="A96" s="14" t="inlineStr">
        <is>
          <t>SRF</t>
        </is>
      </c>
      <c r="B96" s="14" t="inlineStr">
        <is>
          <t>Parametreler</t>
        </is>
      </c>
      <c r="C96" s="14">
        <f>COUNTIFS(Parametreler!$E$2:$E$501,A96,Parametreler!$F$2:$F$501,"TBD")</f>
        <v/>
      </c>
      <c r="D96" s="14">
        <f>COUNTIF(Parametreler!$E$2:$E$501,A96)</f>
        <v/>
      </c>
      <c r="E96" s="16">
        <f>IF(D96=0,0,1-C96/D96)</f>
        <v/>
      </c>
    </row>
    <row r="97">
      <c r="A97" s="14" t="inlineStr">
        <is>
          <t>SampleRate</t>
        </is>
      </c>
      <c r="B97" s="14" t="inlineStr">
        <is>
          <t>Parametreler</t>
        </is>
      </c>
      <c r="C97" s="14">
        <f>COUNTIFS(Parametreler!$E$2:$E$501,A97,Parametreler!$F$2:$F$501,"TBD")</f>
        <v/>
      </c>
      <c r="D97" s="14">
        <f>COUNTIF(Parametreler!$E$2:$E$501,A97)</f>
        <v/>
      </c>
      <c r="E97" s="16">
        <f>IF(D97=0,0,1-C97/D97)</f>
        <v/>
      </c>
    </row>
    <row r="98">
      <c r="A98" s="14" t="inlineStr">
        <is>
          <t>Series</t>
        </is>
      </c>
      <c r="B98" s="14" t="inlineStr">
        <is>
          <t>Parametreler</t>
        </is>
      </c>
      <c r="C98" s="14">
        <f>COUNTIFS(Parametreler!$E$2:$E$501,A98,Parametreler!$F$2:$F$501,"TBD")</f>
        <v/>
      </c>
      <c r="D98" s="14">
        <f>COUNTIF(Parametreler!$E$2:$E$501,A98)</f>
        <v/>
      </c>
      <c r="E98" s="16">
        <f>IF(D98=0,0,1-C98/D98)</f>
        <v/>
      </c>
    </row>
    <row r="99">
      <c r="A99" s="14" t="inlineStr">
        <is>
          <t>ShaftLength</t>
        </is>
      </c>
      <c r="B99" s="14" t="inlineStr">
        <is>
          <t>Parametreler</t>
        </is>
      </c>
      <c r="C99" s="14">
        <f>COUNTIFS(Parametreler!$E$2:$E$501,A99,Parametreler!$F$2:$F$501,"TBD")</f>
        <v/>
      </c>
      <c r="D99" s="14">
        <f>COUNTIF(Parametreler!$E$2:$E$501,A99)</f>
        <v/>
      </c>
      <c r="E99" s="16">
        <f>IF(D99=0,0,1-C99/D99)</f>
        <v/>
      </c>
    </row>
    <row r="100">
      <c r="A100" s="14" t="inlineStr">
        <is>
          <t>ShaftType</t>
        </is>
      </c>
      <c r="B100" s="14" t="inlineStr">
        <is>
          <t>Parametreler</t>
        </is>
      </c>
      <c r="C100" s="14">
        <f>COUNTIFS(Parametreler!$E$2:$E$501,A100,Parametreler!$F$2:$F$501,"TBD")</f>
        <v/>
      </c>
      <c r="D100" s="14">
        <f>COUNTIF(Parametreler!$E$2:$E$501,A100)</f>
        <v/>
      </c>
      <c r="E100" s="16">
        <f>IF(D100=0,0,1-C100/D100)</f>
        <v/>
      </c>
    </row>
    <row r="101">
      <c r="A101" s="14" t="inlineStr">
        <is>
          <t>ShellType</t>
        </is>
      </c>
      <c r="B101" s="14" t="inlineStr">
        <is>
          <t>Parametreler</t>
        </is>
      </c>
      <c r="C101" s="14">
        <f>COUNTIFS(Parametreler!$E$2:$E$501,A101,Parametreler!$F$2:$F$501,"TBD")</f>
        <v/>
      </c>
      <c r="D101" s="14">
        <f>COUNTIF(Parametreler!$E$2:$E$501,A101)</f>
        <v/>
      </c>
      <c r="E101" s="16">
        <f>IF(D101=0,0,1-C101/D101)</f>
        <v/>
      </c>
    </row>
    <row r="102">
      <c r="A102" s="14" t="inlineStr">
        <is>
          <t>Shielding</t>
        </is>
      </c>
      <c r="B102" s="14" t="inlineStr">
        <is>
          <t>Parametreler</t>
        </is>
      </c>
      <c r="C102" s="14">
        <f>COUNTIFS(Parametreler!$E$2:$E$501,A102,Parametreler!$F$2:$F$501,"TBD")</f>
        <v/>
      </c>
      <c r="D102" s="14">
        <f>COUNTIF(Parametreler!$E$2:$E$501,A102)</f>
        <v/>
      </c>
      <c r="E102" s="16">
        <f>IF(D102=0,0,1-C102/D102)</f>
        <v/>
      </c>
    </row>
    <row r="103">
      <c r="A103" s="14" t="inlineStr">
        <is>
          <t>SlewRateControl</t>
        </is>
      </c>
      <c r="B103" s="14" t="inlineStr">
        <is>
          <t>Parametreler</t>
        </is>
      </c>
      <c r="C103" s="14">
        <f>COUNTIFS(Parametreler!$E$2:$E$501,A103,Parametreler!$F$2:$F$501,"TBD")</f>
        <v/>
      </c>
      <c r="D103" s="14">
        <f>COUNTIF(Parametreler!$E$2:$E$501,A103)</f>
        <v/>
      </c>
      <c r="E103" s="16">
        <f>IF(D103=0,0,1-C103/D103)</f>
        <v/>
      </c>
    </row>
    <row r="104">
      <c r="A104" s="14" t="inlineStr">
        <is>
          <t>StandoffVoltage</t>
        </is>
      </c>
      <c r="B104" s="14" t="inlineStr">
        <is>
          <t>Parametreler</t>
        </is>
      </c>
      <c r="C104" s="14">
        <f>COUNTIFS(Parametreler!$E$2:$E$501,A104,Parametreler!$F$2:$F$501,"TBD")</f>
        <v/>
      </c>
      <c r="D104" s="14">
        <f>COUNTIF(Parametreler!$E$2:$E$501,A104)</f>
        <v/>
      </c>
      <c r="E104" s="16">
        <f>IF(D104=0,0,1-C104/D104)</f>
        <v/>
      </c>
    </row>
    <row r="105">
      <c r="A105" s="14" t="inlineStr">
        <is>
          <t>SupplyCurrent</t>
        </is>
      </c>
      <c r="B105" s="14" t="inlineStr">
        <is>
          <t>Parametreler</t>
        </is>
      </c>
      <c r="C105" s="14">
        <f>COUNTIFS(Parametreler!$E$2:$E$501,A105,Parametreler!$F$2:$F$501,"TBD")</f>
        <v/>
      </c>
      <c r="D105" s="14">
        <f>COUNTIF(Parametreler!$E$2:$E$501,A105)</f>
        <v/>
      </c>
      <c r="E105" s="16">
        <f>IF(D105=0,0,1-C105/D105)</f>
        <v/>
      </c>
    </row>
    <row r="106">
      <c r="A106" s="14" t="inlineStr">
        <is>
          <t>SupplyVoltage</t>
        </is>
      </c>
      <c r="B106" s="14" t="inlineStr">
        <is>
          <t>Parametreler</t>
        </is>
      </c>
      <c r="C106" s="14">
        <f>COUNTIFS(Parametreler!$E$2:$E$501,A106,Parametreler!$F$2:$F$501,"TBD")</f>
        <v/>
      </c>
      <c r="D106" s="14">
        <f>COUNTIF(Parametreler!$E$2:$E$501,A106)</f>
        <v/>
      </c>
      <c r="E106" s="16">
        <f>IF(D106=0,0,1-C106/D106)</f>
        <v/>
      </c>
    </row>
    <row r="107">
      <c r="A107" s="14" t="inlineStr">
        <is>
          <t>SwitchContactRating</t>
        </is>
      </c>
      <c r="B107" s="14" t="inlineStr">
        <is>
          <t>Parametreler</t>
        </is>
      </c>
      <c r="C107" s="14">
        <f>COUNTIFS(Parametreler!$E$2:$E$501,A107,Parametreler!$F$2:$F$501,"TBD")</f>
        <v/>
      </c>
      <c r="D107" s="14">
        <f>COUNTIF(Parametreler!$E$2:$E$501,A107)</f>
        <v/>
      </c>
      <c r="E107" s="16">
        <f>IF(D107=0,0,1-C107/D107)</f>
        <v/>
      </c>
    </row>
    <row r="108">
      <c r="A108" s="14" t="inlineStr">
        <is>
          <t>SwitchingFrequency</t>
        </is>
      </c>
      <c r="B108" s="14" t="inlineStr">
        <is>
          <t>Parametreler</t>
        </is>
      </c>
      <c r="C108" s="14">
        <f>COUNTIFS(Parametreler!$E$2:$E$501,A108,Parametreler!$F$2:$F$501,"TBD")</f>
        <v/>
      </c>
      <c r="D108" s="14">
        <f>COUNTIF(Parametreler!$E$2:$E$501,A108)</f>
        <v/>
      </c>
      <c r="E108" s="16">
        <f>IF(D108=0,0,1-C108/D108)</f>
        <v/>
      </c>
    </row>
    <row r="109">
      <c r="A109" s="14" t="inlineStr">
        <is>
          <t>Synchronous</t>
        </is>
      </c>
      <c r="B109" s="14" t="inlineStr">
        <is>
          <t>Parametreler</t>
        </is>
      </c>
      <c r="C109" s="14">
        <f>COUNTIFS(Parametreler!$E$2:$E$501,A109,Parametreler!$F$2:$F$501,"TBD")</f>
        <v/>
      </c>
      <c r="D109" s="14">
        <f>COUNTIF(Parametreler!$E$2:$E$501,A109)</f>
        <v/>
      </c>
      <c r="E109" s="16">
        <f>IF(D109=0,0,1-C109/D109)</f>
        <v/>
      </c>
    </row>
    <row r="110">
      <c r="A110" s="14" t="inlineStr">
        <is>
          <t>TempCoefficient</t>
        </is>
      </c>
      <c r="B110" s="14" t="inlineStr">
        <is>
          <t>Parametreler</t>
        </is>
      </c>
      <c r="C110" s="14">
        <f>COUNTIFS(Parametreler!$E$2:$E$501,A110,Parametreler!$F$2:$F$501,"TBD")</f>
        <v/>
      </c>
      <c r="D110" s="14">
        <f>COUNTIF(Parametreler!$E$2:$E$501,A110)</f>
        <v/>
      </c>
      <c r="E110" s="16">
        <f>IF(D110=0,0,1-C110/D110)</f>
        <v/>
      </c>
    </row>
    <row r="111">
      <c r="A111" s="14" t="inlineStr">
        <is>
          <t>TerminationStyle</t>
        </is>
      </c>
      <c r="B111" s="14" t="inlineStr">
        <is>
          <t>Parametreler</t>
        </is>
      </c>
      <c r="C111" s="14">
        <f>COUNTIFS(Parametreler!$E$2:$E$501,A111,Parametreler!$F$2:$F$501,"TBD")</f>
        <v/>
      </c>
      <c r="D111" s="14">
        <f>COUNTIF(Parametreler!$E$2:$E$501,A111)</f>
        <v/>
      </c>
      <c r="E111" s="16">
        <f>IF(D111=0,0,1-C111/D111)</f>
        <v/>
      </c>
    </row>
    <row r="112">
      <c r="A112" s="14" t="inlineStr">
        <is>
          <t>TestCurrent</t>
        </is>
      </c>
      <c r="B112" s="14" t="inlineStr">
        <is>
          <t>Parametreler</t>
        </is>
      </c>
      <c r="C112" s="14">
        <f>COUNTIFS(Parametreler!$E$2:$E$501,A112,Parametreler!$F$2:$F$501,"TBD")</f>
        <v/>
      </c>
      <c r="D112" s="14">
        <f>COUNTIF(Parametreler!$E$2:$E$501,A112)</f>
        <v/>
      </c>
      <c r="E112" s="16">
        <f>IF(D112=0,0,1-C112/D112)</f>
        <v/>
      </c>
    </row>
    <row r="113">
      <c r="A113" s="14" t="inlineStr">
        <is>
          <t>ThermalPad</t>
        </is>
      </c>
      <c r="B113" s="14" t="inlineStr">
        <is>
          <t>Parametreler</t>
        </is>
      </c>
      <c r="C113" s="14">
        <f>COUNTIFS(Parametreler!$E$2:$E$501,A113,Parametreler!$F$2:$F$501,"TBD")</f>
        <v/>
      </c>
      <c r="D113" s="14">
        <f>COUNTIF(Parametreler!$E$2:$E$501,A113)</f>
        <v/>
      </c>
      <c r="E113" s="16">
        <f>IF(D113=0,0,1-C113/D113)</f>
        <v/>
      </c>
    </row>
    <row r="114">
      <c r="A114" s="14" t="inlineStr">
        <is>
          <t>ThermalResistance</t>
        </is>
      </c>
      <c r="B114" s="14" t="inlineStr">
        <is>
          <t>Parametreler</t>
        </is>
      </c>
      <c r="C114" s="14">
        <f>COUNTIFS(Parametreler!$E$2:$E$501,A114,Parametreler!$F$2:$F$501,"TBD")</f>
        <v/>
      </c>
      <c r="D114" s="14">
        <f>COUNTIF(Parametreler!$E$2:$E$501,A114)</f>
        <v/>
      </c>
      <c r="E114" s="16">
        <f>IF(D114=0,0,1-C114/D114)</f>
        <v/>
      </c>
    </row>
    <row r="115">
      <c r="A115" s="14" t="inlineStr">
        <is>
          <t>TimekeepingAccuracy</t>
        </is>
      </c>
      <c r="B115" s="14" t="inlineStr">
        <is>
          <t>Parametreler</t>
        </is>
      </c>
      <c r="C115" s="14">
        <f>COUNTIFS(Parametreler!$E$2:$E$501,A115,Parametreler!$F$2:$F$501,"TBD")</f>
        <v/>
      </c>
      <c r="D115" s="14">
        <f>COUNTIF(Parametreler!$E$2:$E$501,A115)</f>
        <v/>
      </c>
      <c r="E115" s="16">
        <f>IF(D115=0,0,1-C115/D115)</f>
        <v/>
      </c>
    </row>
    <row r="116">
      <c r="A116" s="14" t="inlineStr">
        <is>
          <t>Tolerance</t>
        </is>
      </c>
      <c r="B116" s="14" t="inlineStr">
        <is>
          <t>Parametreler</t>
        </is>
      </c>
      <c r="C116" s="14">
        <f>COUNTIFS(Parametreler!$E$2:$E$501,A116,Parametreler!$F$2:$F$501,"TBD")</f>
        <v/>
      </c>
      <c r="D116" s="14">
        <f>COUNTIF(Parametreler!$E$2:$E$501,A116)</f>
        <v/>
      </c>
      <c r="E116" s="16">
        <f>IF(D116=0,0,1-C116/D116)</f>
        <v/>
      </c>
    </row>
    <row r="117">
      <c r="A117" s="14" t="inlineStr">
        <is>
          <t>Topology</t>
        </is>
      </c>
      <c r="B117" s="14" t="inlineStr">
        <is>
          <t>Parametreler</t>
        </is>
      </c>
      <c r="C117" s="14">
        <f>COUNTIFS(Parametreler!$E$2:$E$501,A117,Parametreler!$F$2:$F$501,"TBD")</f>
        <v/>
      </c>
      <c r="D117" s="14">
        <f>COUNTIF(Parametreler!$E$2:$E$501,A117)</f>
        <v/>
      </c>
      <c r="E117" s="16">
        <f>IF(D117=0,0,1-C117/D117)</f>
        <v/>
      </c>
    </row>
    <row r="118">
      <c r="A118" s="14" t="inlineStr">
        <is>
          <t>TorqueRating</t>
        </is>
      </c>
      <c r="B118" s="14" t="inlineStr">
        <is>
          <t>Parametreler</t>
        </is>
      </c>
      <c r="C118" s="14">
        <f>COUNTIFS(Parametreler!$E$2:$E$501,A118,Parametreler!$F$2:$F$501,"TBD")</f>
        <v/>
      </c>
      <c r="D118" s="14">
        <f>COUNTIF(Parametreler!$E$2:$E$501,A118)</f>
        <v/>
      </c>
      <c r="E118" s="16">
        <f>IF(D118=0,0,1-C118/D118)</f>
        <v/>
      </c>
    </row>
    <row r="119">
      <c r="A119" s="14" t="inlineStr">
        <is>
          <t>USBVersion</t>
        </is>
      </c>
      <c r="B119" s="14" t="inlineStr">
        <is>
          <t>Parametreler</t>
        </is>
      </c>
      <c r="C119" s="14">
        <f>COUNTIFS(Parametreler!$E$2:$E$501,A119,Parametreler!$F$2:$F$501,"TBD")</f>
        <v/>
      </c>
      <c r="D119" s="14">
        <f>COUNTIF(Parametreler!$E$2:$E$501,A119)</f>
        <v/>
      </c>
      <c r="E119" s="16">
        <f>IF(D119=0,0,1-C119/D119)</f>
        <v/>
      </c>
    </row>
    <row r="120">
      <c r="A120" s="14" t="inlineStr">
        <is>
          <t>VgsThreshold</t>
        </is>
      </c>
      <c r="B120" s="14" t="inlineStr">
        <is>
          <t>Parametreler</t>
        </is>
      </c>
      <c r="C120" s="14">
        <f>COUNTIFS(Parametreler!$E$2:$E$501,A120,Parametreler!$F$2:$F$501,"TBD")</f>
        <v/>
      </c>
      <c r="D120" s="14">
        <f>COUNTIF(Parametreler!$E$2:$E$501,A120)</f>
        <v/>
      </c>
      <c r="E120" s="16">
        <f>IF(D120=0,0,1-C120/D120)</f>
        <v/>
      </c>
    </row>
    <row r="121">
      <c r="A121" s="14" t="inlineStr">
        <is>
          <t>ViewingAngle</t>
        </is>
      </c>
      <c r="B121" s="14" t="inlineStr">
        <is>
          <t>Parametreler</t>
        </is>
      </c>
      <c r="C121" s="14">
        <f>COUNTIFS(Parametreler!$E$2:$E$501,A121,Parametreler!$F$2:$F$501,"TBD")</f>
        <v/>
      </c>
      <c r="D121" s="14">
        <f>COUNTIF(Parametreler!$E$2:$E$501,A121)</f>
        <v/>
      </c>
      <c r="E121" s="16">
        <f>IF(D121=0,0,1-C121/D121)</f>
        <v/>
      </c>
    </row>
    <row r="122">
      <c r="A122" s="14" t="inlineStr">
        <is>
          <t>VoltageDS</t>
        </is>
      </c>
      <c r="B122" s="14" t="inlineStr">
        <is>
          <t>Parametreler</t>
        </is>
      </c>
      <c r="C122" s="14">
        <f>COUNTIFS(Parametreler!$E$2:$E$501,A122,Parametreler!$F$2:$F$501,"TBD")</f>
        <v/>
      </c>
      <c r="D122" s="14">
        <f>COUNTIF(Parametreler!$E$2:$E$501,A122)</f>
        <v/>
      </c>
      <c r="E122" s="16">
        <f>IF(D122=0,0,1-C122/D122)</f>
        <v/>
      </c>
    </row>
    <row r="123">
      <c r="A123" s="14" t="inlineStr">
        <is>
          <t>VoltageRating</t>
        </is>
      </c>
      <c r="B123" s="14" t="inlineStr">
        <is>
          <t>Parametreler</t>
        </is>
      </c>
      <c r="C123" s="14">
        <f>COUNTIFS(Parametreler!$E$2:$E$501,A123,Parametreler!$F$2:$F$501,"TBD")</f>
        <v/>
      </c>
      <c r="D123" s="14">
        <f>COUNTIF(Parametreler!$E$2:$E$501,A123)</f>
        <v/>
      </c>
      <c r="E123" s="16">
        <f>IF(D123=0,0,1-C123/D123)</f>
        <v/>
      </c>
    </row>
    <row r="124">
      <c r="A124" s="14" t="inlineStr">
        <is>
          <t>Wavelength</t>
        </is>
      </c>
      <c r="B124" s="14" t="inlineStr">
        <is>
          <t>Parametreler</t>
        </is>
      </c>
      <c r="C124" s="14">
        <f>COUNTIFS(Parametreler!$E$2:$E$501,A124,Parametreler!$F$2:$F$501,"TBD")</f>
        <v/>
      </c>
      <c r="D124" s="14">
        <f>COUNTIF(Parametreler!$E$2:$E$501,A124)</f>
        <v/>
      </c>
      <c r="E124" s="16">
        <f>IF(D124=0,0,1-C124/D124)</f>
        <v/>
      </c>
    </row>
    <row r="125">
      <c r="A125" s="14" t="inlineStr">
        <is>
          <t>WireGauge</t>
        </is>
      </c>
      <c r="B125" s="14" t="inlineStr">
        <is>
          <t>Parametreler</t>
        </is>
      </c>
      <c r="C125" s="14">
        <f>COUNTIFS(Parametreler!$E$2:$E$501,A125,Parametreler!$F$2:$F$501,"TBD")</f>
        <v/>
      </c>
      <c r="D125" s="14">
        <f>COUNTIF(Parametreler!$E$2:$E$501,A125)</f>
        <v/>
      </c>
      <c r="E125" s="16">
        <f>IF(D125=0,0,1-C125/D125)</f>
        <v/>
      </c>
    </row>
    <row r="126">
      <c r="A126" s="14" t="inlineStr">
        <is>
          <t>WireTermination</t>
        </is>
      </c>
      <c r="B126" s="14" t="inlineStr">
        <is>
          <t>Parametreler</t>
        </is>
      </c>
      <c r="C126" s="14">
        <f>COUNTIFS(Parametreler!$E$2:$E$501,A126,Parametreler!$F$2:$F$501,"TBD")</f>
        <v/>
      </c>
      <c r="D126" s="14">
        <f>COUNTIF(Parametreler!$E$2:$E$501,A126)</f>
        <v/>
      </c>
      <c r="E126" s="16">
        <f>IF(D126=0,0,1-C126/D126)</f>
        <v/>
      </c>
    </row>
    <row r="127">
      <c r="A127" s="14" t="inlineStr">
        <is>
          <t>WirelessProtocol</t>
        </is>
      </c>
      <c r="B127" s="14" t="inlineStr">
        <is>
          <t>Parametreler</t>
        </is>
      </c>
      <c r="C127" s="14">
        <f>COUNTIFS(Parametreler!$E$2:$E$501,A127,Parametreler!$F$2:$F$501,"TBD")</f>
        <v/>
      </c>
      <c r="D127" s="14">
        <f>COUNTIF(Parametreler!$E$2:$E$501,A127)</f>
        <v/>
      </c>
      <c r="E127" s="16">
        <f>IF(D127=0,0,1-C127/D127)</f>
        <v/>
      </c>
    </row>
    <row r="128">
      <c r="A128" s="14" t="inlineStr">
        <is>
          <t>ZenerTolerance</t>
        </is>
      </c>
      <c r="B128" s="14" t="inlineStr">
        <is>
          <t>Parametreler</t>
        </is>
      </c>
      <c r="C128" s="14">
        <f>COUNTIFS(Parametreler!$E$2:$E$501,A128,Parametreler!$F$2:$F$501,"TBD")</f>
        <v/>
      </c>
      <c r="D128" s="14">
        <f>COUNTIF(Parametreler!$E$2:$E$501,A128)</f>
        <v/>
      </c>
      <c r="E128" s="16">
        <f>IF(D128=0,0,1-C128/D128)</f>
        <v/>
      </c>
    </row>
    <row r="129">
      <c r="A129" s="14" t="inlineStr">
        <is>
          <t>ZenerVoltage</t>
        </is>
      </c>
      <c r="B129" s="14" t="inlineStr">
        <is>
          <t>Parametreler</t>
        </is>
      </c>
      <c r="C129" s="14">
        <f>COUNTIFS(Parametreler!$E$2:$E$501,A129,Parametreler!$F$2:$F$501,"TBD")</f>
        <v/>
      </c>
      <c r="D129" s="14">
        <f>COUNTIF(Parametreler!$E$2:$E$501,A129)</f>
        <v/>
      </c>
      <c r="E129" s="16">
        <f>IF(D129=0,0,1-C129/D129)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2026-09-18T11:03:13Z</dcterms:created>
  <dcterms:modified xsi:type="dcterms:W3CDTF">2026-09-18T11:03:14Z</dcterms:modified>
</cp:coreProperties>
</file>