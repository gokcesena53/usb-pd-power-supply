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Ozdisan" sheetId="1" state="visible" r:id="rId1"/>
    <sheet name="Ozet" sheetId="2" state="visible" r:id="rId2"/>
  </sheets>
  <definedNames>
    <definedName name="_xlnm._FilterDatabase" localSheetId="0" hidden="1">'BOM_Ozdisan'!$A$1:$S$69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8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0" borderId="0" pivotButton="0" quotePrefix="0" xfId="0"/>
    <xf numFmtId="4" fontId="3" fillId="0" borderId="0" pivotButton="0" quotePrefix="0" xfId="0"/>
    <xf numFmtId="0" fontId="2" fillId="8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0" fillId="6" borderId="0" pivotButton="0" quotePrefix="0" xfId="0"/>
    <xf numFmtId="0" fontId="0" fillId="7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zdisan.com/p/akim-yonetimi-entegreleri-273/texas-ina226aidgsr-640350" TargetMode="External" Id="rId1" /><Relationship Type="http://schemas.openxmlformats.org/officeDocument/2006/relationships/hyperlink" Target="https://www.ozdisan.com/p/gercek-zamanli-saat-entegreleri-212/texas-bq32000dr-467622" TargetMode="External" Id="rId2" /><Relationship Type="http://schemas.openxmlformats.org/officeDocument/2006/relationships/hyperlink" Target="https://www.ozdisan.com/p/dc-dc-voltaj-regulatorleri-275/alphaomega-aoz1284pi-594873" TargetMode="External" Id="rId3" /><Relationship Type="http://schemas.openxmlformats.org/officeDocument/2006/relationships/hyperlink" Target="https://www.ozdisan.com/p/voltaj-referans-entegreleri-287/texas-tl431aidbzr-341981" TargetMode="External" Id="rId4" /><Relationship Type="http://schemas.openxmlformats.org/officeDocument/2006/relationships/hyperlink" Target="https://www.ozdisan.com/p/dc-dc-voltaj-regulatorleri-275/texas-tps55340pwpr-645605" TargetMode="External" Id="rId5" /><Relationship Type="http://schemas.openxmlformats.org/officeDocument/2006/relationships/hyperlink" Target="https://www.ozdisan.com/p/discrete-mosfetler-435/nexperia-bss138p-215-737689" TargetMode="External" Id="rId6" /><Relationship Type="http://schemas.openxmlformats.org/officeDocument/2006/relationships/hyperlink" Target="https://www.ozdisan.com/p/discrete-mosfetler-435/vishay-siliconix-sqjb60ep-t1-ge3-700940" TargetMode="External" Id="rId7" /><Relationship Type="http://schemas.openxmlformats.org/officeDocument/2006/relationships/hyperlink" Target="https://www.ozdisan.com/p/schottky-diyotlar-385/panjit-ss2060fl-r1-00001-574723" TargetMode="External" Id="rId8" /><Relationship Type="http://schemas.openxmlformats.org/officeDocument/2006/relationships/hyperlink" Target="https://www.ozdisan.com/p/tvs-diyotlar-386/vishay-smbj30a-e3-52-507320" TargetMode="External" Id="rId9" /><Relationship Type="http://schemas.openxmlformats.org/officeDocument/2006/relationships/hyperlink" Target="https://www.ozdisan.com/p/schottky-diyotlar-385/panjit-sx36-r1-00001-574842" TargetMode="External" Id="rId10" /><Relationship Type="http://schemas.openxmlformats.org/officeDocument/2006/relationships/hyperlink" Target="https://www.ozdisan.com/p/schottky-diyotlar-385/ons-bat54t1g-614028" TargetMode="External" Id="rId11" /><Relationship Type="http://schemas.openxmlformats.org/officeDocument/2006/relationships/hyperlink" Target="https://www.ozdisan.com/p/zener-diyotlar-390/panjit-bzt52-c12-r1-00001-560765" TargetMode="External" Id="rId12" /><Relationship Type="http://schemas.openxmlformats.org/officeDocument/2006/relationships/hyperlink" Target="https://www.ozdisan.com/p/sinyal-ledler-tek-renkli-361/kingbright-aphhs1005surck-708179" TargetMode="External" Id="rId13" /><Relationship Type="http://schemas.openxmlformats.org/officeDocument/2006/relationships/hyperlink" Target="https://www.ozdisan.com/p/ntc-termistorler-852/thinking-tsm0b103f3381rz-509291" TargetMode="External" Id="rId14" /><Relationship Type="http://schemas.openxmlformats.org/officeDocument/2006/relationships/hyperlink" Target="https://www.ozdisan.com/p/sabit-induktorler-468/epcos-tdk-b82422h1682k000-489001" TargetMode="External" Id="rId15" /><Relationship Type="http://schemas.openxmlformats.org/officeDocument/2006/relationships/hyperlink" Target="https://www.ozdisan.com/p/tact-sivicler-485/littelfuse-ck-pts810-sjs-250-smtr-lfs-994927" TargetMode="External" Id="rId16" /><Relationship Type="http://schemas.openxmlformats.org/officeDocument/2006/relationships/hyperlink" Target="https://www.ozdisan.com/p/enkoderler-532/kls-electronic-l-kls4-ec1121s-e5a-f12-5-533942" TargetMode="External" Id="rId17" /><Relationship Type="http://schemas.openxmlformats.org/officeDocument/2006/relationships/hyperlink" Target="https://www.ozdisan.com/p/elektrik-cift-katmanli-kapasitorler-super-kapasitorler-183/korchip-dcl5r5155hf-954330" TargetMode="External" Id="rId18" /><Relationship Type="http://schemas.openxmlformats.org/officeDocument/2006/relationships/hyperlink" Target="https://www.ozdisan.com/p/kristaller-508/abracon-abs25-32-768khz-t-489027" TargetMode="External" Id="rId19" /><Relationship Type="http://schemas.openxmlformats.org/officeDocument/2006/relationships/hyperlink" Target="https://www.ozdisan.com/p/ffc-ve-fpc-konnektorler-716/kls-electronic-l-kls1-242i-2-0-30-r-695049" TargetMode="External" Id="rId20" /><Relationship Type="http://schemas.openxmlformats.org/officeDocument/2006/relationships/hyperlink" Target="https://www.ozdisan.com/p/discrete-mosfetler-435/infineon-irlml6344trpbf-612260" TargetMode="External" Id="rId21" /><Relationship Type="http://schemas.openxmlformats.org/officeDocument/2006/relationships/hyperlink" Target="https://www.ozdisan.com/p/smt-smd-ve-cip-direncler-194/viking-crt05j7f5r60-1054409" TargetMode="External" Id="rId22" /><Relationship Type="http://schemas.openxmlformats.org/officeDocument/2006/relationships/hyperlink" Target="https://www.ozdisan.com/p/tft-paneller-381/xiamen-precise-tft032b018-1564112" TargetMode="External" Id="rId23" /><Relationship Type="http://schemas.openxmlformats.org/officeDocument/2006/relationships/hyperlink" Target="https://www.ozdisan.com/p/pcb-klemensler-410/degson-dg142r-5-08-02p-14-00ah-695538" TargetMode="External" Id="rId24" /><Relationship Type="http://schemas.openxmlformats.org/officeDocument/2006/relationships/hyperlink" Target="https://www.ozdisan.com/p/usb-konnektorler-357/gct-usb4105-gf-a-955183" TargetMode="External" Id="rId25" /><Relationship Type="http://schemas.openxmlformats.org/officeDocument/2006/relationships/hyperlink" Target="https://www.ozdisan.com/p/smt-smd-ve-mlcc-kapasitorler-184/yageo-cc0402krx7r9bb104-609906" TargetMode="External" Id="rId26" /><Relationship Type="http://schemas.openxmlformats.org/officeDocument/2006/relationships/hyperlink" Target="https://www.ozdisan.com/p/smt-smd-ve-mlcc-kapasitorler-184/samsung-cl21a225kb9lnnc-522705" TargetMode="External" Id="rId27" /><Relationship Type="http://schemas.openxmlformats.org/officeDocument/2006/relationships/hyperlink" Target="https://www.ozdisan.com/p/smt-smd-ve-mlcc-kapasitorler-184/taiyo-yuden-emk105bj105kvhf-623573" TargetMode="External" Id="rId28" /><Relationship Type="http://schemas.openxmlformats.org/officeDocument/2006/relationships/hyperlink" Target="https://www.ozdisan.com/p/smt-smd-ve-mlcc-kapasitorler-184/murata-grt21bc81a226me13k-810882" TargetMode="External" Id="rId29" /><Relationship Type="http://schemas.openxmlformats.org/officeDocument/2006/relationships/hyperlink" Target="https://www.ozdisan.com/p/smt-smd-ve-mlcc-kapasitorler-184/samsung-cl32b475kbjnnne-1206577" TargetMode="External" Id="rId30" /><Relationship Type="http://schemas.openxmlformats.org/officeDocument/2006/relationships/hyperlink" Target="https://www.ozdisan.com/p/aluminyum-kapasitorler-180/panasoniceurope-eehza1v470p-1098034" TargetMode="External" Id="rId31" /><Relationship Type="http://schemas.openxmlformats.org/officeDocument/2006/relationships/hyperlink" Target="https://www.ozdisan.com/p/smt-smd-ve-mlcc-kapasitorler-184/samsung-cl32a476kojnnne-423179" TargetMode="External" Id="rId32" /><Relationship Type="http://schemas.openxmlformats.org/officeDocument/2006/relationships/hyperlink" Target="https://www.ozdisan.com/p/smt-smd-ve-mlcc-kapasitorler-184/samsung-cl05b103ka5nnnc-446224" TargetMode="External" Id="rId33" /><Relationship Type="http://schemas.openxmlformats.org/officeDocument/2006/relationships/hyperlink" Target="https://www.ozdisan.com/p/smt-smd-ve-mlcc-kapasitorler-184/samsung-cl05b473ko5nnnc-443226" TargetMode="External" Id="rId34" /><Relationship Type="http://schemas.openxmlformats.org/officeDocument/2006/relationships/hyperlink" Target="https://www.ozdisan.com/p/smt-smd-ve-mlcc-kapasitorler-184/yageo-cc0402krx7r9bb223-746989" TargetMode="External" Id="rId35" /><Relationship Type="http://schemas.openxmlformats.org/officeDocument/2006/relationships/hyperlink" Target="https://www.ozdisan.com/p/smt-smd-ve-mlcc-kapasitorler-184/samsung-cl10b224ka8nnnc-15507" TargetMode="External" Id="rId36" /><Relationship Type="http://schemas.openxmlformats.org/officeDocument/2006/relationships/hyperlink" Target="https://www.ozdisan.com/p/smt-smd-ve-cip-direncler-194/royalohm-tc0250b1002tcc-569744" TargetMode="External" Id="rId37" /><Relationship Type="http://schemas.openxmlformats.org/officeDocument/2006/relationships/hyperlink" Target="https://www.ozdisan.com/p/smt-smd-ve-cip-direncler-194/royalohm-hp05w3f1002t5e-604238" TargetMode="External" Id="rId38" /><Relationship Type="http://schemas.openxmlformats.org/officeDocument/2006/relationships/hyperlink" Target="https://www.ozdisan.com/p/smt-smd-ve-cip-direncler-194/yageo-rc0402fr-0722rp-839397" TargetMode="External" Id="rId39" /><Relationship Type="http://schemas.openxmlformats.org/officeDocument/2006/relationships/hyperlink" Target="https://www.ozdisan.com/p/smt-smd-ve-cip-direncler-194/royalohm-hp02waf4701tce-603918" TargetMode="External" Id="rId40" /><Relationship Type="http://schemas.openxmlformats.org/officeDocument/2006/relationships/hyperlink" Target="https://www.ozdisan.com/p/smt-smd-ve-cip-direncler-194/vishay-crcw040212k0fked-519356" TargetMode="External" Id="rId41" /><Relationship Type="http://schemas.openxmlformats.org/officeDocument/2006/relationships/hyperlink" Target="https://www.ozdisan.com/p/smt-smd-ve-cip-direncler-194/royalohm-tc0250b2002tcc-570296" TargetMode="External" Id="rId42" /><Relationship Type="http://schemas.openxmlformats.org/officeDocument/2006/relationships/hyperlink" Target="https://www.ozdisan.com/p/smt-smd-ve-cip-direncler-194/royalohm-0402wgf6201tce-359873" TargetMode="External" Id="rId43" /><Relationship Type="http://schemas.openxmlformats.org/officeDocument/2006/relationships/hyperlink" Target="https://www.ozdisan.com/p/smt-smd-ve-cip-direncler-194/royalohm-tc0250b1000tcc-569711" TargetMode="External" Id="rId44" /><Relationship Type="http://schemas.openxmlformats.org/officeDocument/2006/relationships/hyperlink" Target="https://www.ozdisan.com/p/smt-smd-ve-cip-direncler-194/panasoniceurope-erj2rkf2201x-494655" TargetMode="External" Id="rId45" /><Relationship Type="http://schemas.openxmlformats.org/officeDocument/2006/relationships/hyperlink" Target="https://www.ozdisan.com/p/smt-smd-ve-cip-direncler-194/royalohm-cq02wgf1003tce-587906" TargetMode="External" Id="rId46" /><Relationship Type="http://schemas.openxmlformats.org/officeDocument/2006/relationships/hyperlink" Target="https://www.ozdisan.com/p/smt-smd-ve-cip-direncler-194/royalohm-cq02wgf1003tce-587906" TargetMode="External" Id="rId47" /><Relationship Type="http://schemas.openxmlformats.org/officeDocument/2006/relationships/hyperlink" Target="https://www.ozdisan.com/p/smt-smd-ve-cip-direncler-194/yageo-rt0402brd071kl-1212342" TargetMode="External" Id="rId48" /><Relationship Type="http://schemas.openxmlformats.org/officeDocument/2006/relationships/hyperlink" Target="https://www.ozdisan.com/p/smt-smd-ve-cip-direncler-194/royalohm-ps122wf1001t4e-746122" TargetMode="External" Id="rId49" /><Relationship Type="http://schemas.openxmlformats.org/officeDocument/2006/relationships/hyperlink" Target="https://www.ozdisan.com/p/smt-smd-ve-cip-direncler-194/samsung-rc1005f1022cs-695131" TargetMode="External" Id="rId50" /><Relationship Type="http://schemas.openxmlformats.org/officeDocument/2006/relationships/hyperlink" Target="https://www.ozdisan.com/p/smt-smd-ve-cip-direncler-194/panasoniceurope-erj2rkf3241x-494659" TargetMode="External" Id="rId51" /><Relationship Type="http://schemas.openxmlformats.org/officeDocument/2006/relationships/hyperlink" Target="https://www.ozdisan.com/p/smt-smd-ve-cip-direncler-194/royalohm-0402wgf1272tce-506317" TargetMode="External" Id="rId52" /><Relationship Type="http://schemas.openxmlformats.org/officeDocument/2006/relationships/hyperlink" Target="https://www.ozdisan.com/p/smt-smd-ve-cip-direncler-194/royalohm-0402wgf7872tce-506387" TargetMode="External" Id="rId53" /><Relationship Type="http://schemas.openxmlformats.org/officeDocument/2006/relationships/hyperlink" Target="https://www.ozdisan.com/p/smt-smd-ve-cip-direncler-194/royalohm-0402wgf3012tce-506349" TargetMode="External" Id="rId54" /><Relationship Type="http://schemas.openxmlformats.org/officeDocument/2006/relationships/hyperlink" Target="https://www.ozdisan.com/p/smt-smd-ve-cip-direncler-194/royalohm-0402wgf9761tce-506310" TargetMode="External" Id="rId55" /><Relationship Type="http://schemas.openxmlformats.org/officeDocument/2006/relationships/hyperlink" Target="https://www.ozdisan.com/p/smt-smd-ve-cip-direncler-194/yageo-rc0402jr-07820rl-423409" TargetMode="External" Id="rId56" /><Relationship Type="http://schemas.openxmlformats.org/officeDocument/2006/relationships/hyperlink" Target="https://www.ozdisan.com/p/smt-smd-ve-cip-direncler-194/panasoniceurope-erj2rkf2001x-518487" TargetMode="External" Id="rId57" /><Relationship Type="http://schemas.openxmlformats.org/officeDocument/2006/relationships/hyperlink" Target="https://www.ozdisan.com/p/smt-smd-ve-cip-direncler-194/royalohm-0402wgf2323tce-506426" TargetMode="External" Id="rId58" /><Relationship Type="http://schemas.openxmlformats.org/officeDocument/2006/relationships/hyperlink" Target="https://www.ozdisan.com/p/hassas-ve-sont-direncler-195/isabellenhutte-bvt-i-r005-1-0-536256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" customWidth="1" min="2" max="2"/>
    <col width="14" customWidth="1" min="3" max="3"/>
    <col width="16" customWidth="1" min="4" max="4"/>
    <col width="24" customWidth="1" min="5" max="5"/>
    <col width="24" customWidth="1" min="6" max="6"/>
    <col width="16" customWidth="1" min="7" max="7"/>
    <col width="34" customWidth="1" min="8" max="8"/>
    <col width="11" customWidth="1" min="9" max="9"/>
    <col width="9" customWidth="1" min="10" max="10"/>
    <col width="6" customWidth="1" min="11" max="11"/>
    <col width="8" customWidth="1" min="12" max="12"/>
    <col width="9" customWidth="1" min="13" max="13"/>
    <col width="11" customWidth="1" min="14" max="14"/>
    <col width="12" customWidth="1" min="15" max="15"/>
    <col width="13" customWidth="1" min="16" max="16"/>
    <col width="16" customWidth="1" min="17" max="17"/>
    <col width="70" customWidth="1" min="18" max="18"/>
    <col width="40" customWidth="1" min="19" max="19"/>
  </cols>
  <sheetData>
    <row r="1">
      <c r="A1" s="1" t="inlineStr">
        <is>
          <t>Referanslar</t>
        </is>
      </c>
      <c r="B1" s="1" t="inlineStr">
        <is>
          <t>Adet</t>
        </is>
      </c>
      <c r="C1" s="1" t="inlineStr">
        <is>
          <t>Değer</t>
        </is>
      </c>
      <c r="D1" s="1" t="inlineStr">
        <is>
          <t>Kılıf (tasarım)</t>
        </is>
      </c>
      <c r="E1" s="1" t="inlineStr">
        <is>
          <t>Tasarım MPN</t>
        </is>
      </c>
      <c r="F1" s="1" t="inlineStr">
        <is>
          <t>Seçilen Özdisan MPN</t>
        </is>
      </c>
      <c r="G1" s="1" t="inlineStr">
        <is>
          <t>Üretici</t>
        </is>
      </c>
      <c r="H1" s="1" t="inlineStr">
        <is>
          <t>Özdisan açıklaması</t>
        </is>
      </c>
      <c r="I1" s="1" t="inlineStr">
        <is>
          <t>Özdisan kodu</t>
        </is>
      </c>
      <c r="J1" s="1" t="inlineStr">
        <is>
          <t>Stok</t>
        </is>
      </c>
      <c r="K1" s="1" t="inlineStr">
        <is>
          <t>MOQ</t>
        </is>
      </c>
      <c r="L1" s="1" t="inlineStr">
        <is>
          <t>Sipariş katı</t>
        </is>
      </c>
      <c r="M1" s="1" t="inlineStr">
        <is>
          <t>Sipariş adedi</t>
        </is>
      </c>
      <c r="N1" s="1" t="inlineStr">
        <is>
          <t>Birim fiyat (TRY)</t>
        </is>
      </c>
      <c r="O1" s="1" t="inlineStr">
        <is>
          <t>Satır toplamı (TRY)</t>
        </is>
      </c>
      <c r="P1" s="1" t="inlineStr">
        <is>
          <t>Durum</t>
        </is>
      </c>
      <c r="Q1" s="1" t="inlineStr">
        <is>
          <t>Seçim kaynağı</t>
        </is>
      </c>
      <c r="R1" s="1" t="inlineStr">
        <is>
          <t>Not</t>
        </is>
      </c>
      <c r="S1" s="1" t="inlineStr">
        <is>
          <t>Özdisan bağlantısı</t>
        </is>
      </c>
    </row>
    <row r="2">
      <c r="A2" s="2" t="inlineStr">
        <is>
          <t>U1</t>
        </is>
      </c>
      <c r="B2" s="2" t="n">
        <v>1</v>
      </c>
      <c r="C2" s="2" t="inlineStr">
        <is>
          <t>AP33772SDKZ-13-FA02</t>
        </is>
      </c>
      <c r="D2" s="2" t="inlineStr">
        <is>
          <t>WQFN-24 4x4</t>
        </is>
      </c>
      <c r="E2" s="2" t="inlineStr">
        <is>
          <t>AP33772SDKZ-13-FA02</t>
        </is>
      </c>
      <c r="F2" s="2" t="inlineStr"/>
      <c r="G2" s="2" t="inlineStr"/>
      <c r="H2" s="2" t="inlineStr"/>
      <c r="I2" s="2" t="n"/>
      <c r="J2" s="2" t="n"/>
      <c r="K2" s="2" t="n"/>
      <c r="L2" s="2" t="n"/>
      <c r="M2" s="2" t="n"/>
      <c r="N2" s="3" t="n"/>
      <c r="O2" s="3" t="n"/>
      <c r="P2" s="4" t="inlineStr">
        <is>
          <t>Stokta yok</t>
        </is>
      </c>
      <c r="Q2" s="2" t="inlineStr">
        <is>
          <t>Tasarım MPN'i</t>
        </is>
      </c>
      <c r="R2" s="2" t="inlineStr">
        <is>
          <t>Özdisan indeksinde (stoksuz dahil) bulunamadı. Başka tedarikçiden alınmalı.</t>
        </is>
      </c>
      <c r="S2" s="2" t="n"/>
    </row>
    <row r="3">
      <c r="A3" s="2" t="inlineStr">
        <is>
          <t>U2</t>
        </is>
      </c>
      <c r="B3" s="2" t="n">
        <v>1</v>
      </c>
      <c r="C3" s="2" t="inlineStr">
        <is>
          <t>ESP32-C6-WROOM-1</t>
        </is>
      </c>
      <c r="D3" s="2" t="inlineStr">
        <is>
          <t>WROOM-1 modül</t>
        </is>
      </c>
      <c r="E3" s="2" t="inlineStr">
        <is>
          <t>ESP32-C6-WROOM-1</t>
        </is>
      </c>
      <c r="F3" s="2" t="inlineStr"/>
      <c r="G3" s="2" t="inlineStr"/>
      <c r="H3" s="2" t="inlineStr"/>
      <c r="I3" s="2" t="n"/>
      <c r="J3" s="2" t="n"/>
      <c r="K3" s="2" t="n"/>
      <c r="L3" s="2" t="n"/>
      <c r="M3" s="2" t="n"/>
      <c r="N3" s="3" t="n"/>
      <c r="O3" s="3" t="n"/>
      <c r="P3" s="4" t="inlineStr">
        <is>
          <t>Stokta yok</t>
        </is>
      </c>
      <c r="Q3" s="2" t="inlineStr">
        <is>
          <t>Tasarım MPN'i</t>
        </is>
      </c>
      <c r="R3" s="2" t="inlineStr">
        <is>
          <t>21.09 üçüncü tur: ESP32-C6 modülü Özdisan'da yok; özellikleri karşılayan muadil de yok. Tasarım native USB (GPIO12/13) ve ~22 GPIO kullanıyor. Stoktaki ESP32-C3-MINI-1-N4 (445 stok) native USB'ye sahip ama GPIO sayısı yetmez ve 802.15.4/Wi-Fi 6 yok. ESP32-WROOM-32E-N4 (466 stok) aynı 18x25,5 mm gövdede ama pin dizilişi farklı ve native USB yok (USB-UART köprüsü gerekir). İkisi de şema/footprint/firmware değişikliği ister.</t>
        </is>
      </c>
      <c r="S3" s="2" t="n"/>
    </row>
    <row r="4">
      <c r="A4" s="2" t="inlineStr">
        <is>
          <t>U3</t>
        </is>
      </c>
      <c r="B4" s="2" t="n">
        <v>1</v>
      </c>
      <c r="C4" s="2" t="inlineStr">
        <is>
          <t>INA226</t>
        </is>
      </c>
      <c r="D4" s="2" t="inlineStr">
        <is>
          <t>VSSOP-10 (DGS)</t>
        </is>
      </c>
      <c r="E4" s="2" t="inlineStr">
        <is>
          <t>INA226AIDGSR</t>
        </is>
      </c>
      <c r="F4" s="2" t="inlineStr">
        <is>
          <t>INA226AIDGSR</t>
        </is>
      </c>
      <c r="G4" s="2" t="inlineStr">
        <is>
          <t>TEXAS</t>
        </is>
      </c>
      <c r="H4" s="2" t="inlineStr">
        <is>
          <t>IC-226 MONITOR PWR/CURR BIDIR</t>
        </is>
      </c>
      <c r="I4" s="2" t="n">
        <v>640350</v>
      </c>
      <c r="J4" s="2" t="n">
        <v>9865</v>
      </c>
      <c r="K4" s="2" t="n">
        <v>1</v>
      </c>
      <c r="L4" s="2" t="n">
        <v>1</v>
      </c>
      <c r="M4" s="2" t="n">
        <v>1</v>
      </c>
      <c r="N4" s="3" t="n">
        <v>80.4401</v>
      </c>
      <c r="O4" s="3" t="n">
        <v>80.44</v>
      </c>
      <c r="P4" s="5" t="inlineStr">
        <is>
          <t>Uygun</t>
        </is>
      </c>
      <c r="Q4" s="2" t="inlineStr">
        <is>
          <t>Önceden seçilmiş</t>
        </is>
      </c>
      <c r="R4" s="2" t="inlineStr">
        <is>
          <t>Seçim raporu: design_decisions/reports/ina226-20260921.</t>
        </is>
      </c>
      <c r="S4" s="6" t="inlineStr">
        <is>
          <t>https://www.ozdisan.com/p/akim-yonetimi-entegreleri-273/texas-ina226aidgsr-640350</t>
        </is>
      </c>
    </row>
    <row r="5">
      <c r="A5" s="2" t="inlineStr">
        <is>
          <t>U4</t>
        </is>
      </c>
      <c r="B5" s="2" t="n">
        <v>1</v>
      </c>
      <c r="C5" s="2" t="inlineStr">
        <is>
          <t>BQ32000</t>
        </is>
      </c>
      <c r="D5" s="2" t="inlineStr">
        <is>
          <t>SOIC-8 (C7 SON-8'den)</t>
        </is>
      </c>
      <c r="E5" s="2" t="inlineStr">
        <is>
          <t>BQ32000DR</t>
        </is>
      </c>
      <c r="F5" s="2" t="inlineStr">
        <is>
          <t>BQ32000DR</t>
        </is>
      </c>
      <c r="G5" s="2" t="inlineStr">
        <is>
          <t>TEXAS</t>
        </is>
      </c>
      <c r="H5" s="2" t="inlineStr">
        <is>
          <t>IC-32000 SRL REAL TIME CLOCK SOIC8</t>
        </is>
      </c>
      <c r="I5" s="2" t="n">
        <v>467622</v>
      </c>
      <c r="J5" s="2" t="n">
        <v>8985</v>
      </c>
      <c r="K5" s="2" t="n">
        <v>1</v>
      </c>
      <c r="L5" s="2" t="n">
        <v>1</v>
      </c>
      <c r="M5" s="2" t="n">
        <v>1</v>
      </c>
      <c r="N5" s="3" t="n">
        <v>39.4798</v>
      </c>
      <c r="O5" s="3" t="n">
        <v>39.48</v>
      </c>
      <c r="P5" s="5" t="inlineStr">
        <is>
          <t>Uygun</t>
        </is>
      </c>
      <c r="Q5" s="2" t="inlineStr">
        <is>
          <t>Yeni seçildi</t>
        </is>
      </c>
      <c r="R5" s="2" t="inlineStr">
        <is>
          <t>21.09 RTC revizyonu: RV-3028-C7 yerine BQ32000DR (kullanıcı kararı). VCC 3,0–3,6V, I2C 0x68, open-drain IRQ, VBACK otomatik geçiş ve süper kapasitör için dahili trickle charger. Datasheet: 1 µF VCC dekuplajı (C9), 32,768 kHz kristal CL 12 pF (Y1), harici yük C yok. Firmware: TCHE=0x5, TCH2=1, TCFE=1.</t>
        </is>
      </c>
      <c r="S5" s="6" t="inlineStr">
        <is>
          <t>https://www.ozdisan.com/p/gercek-zamanli-saat-entegreleri-212/texas-bq32000dr-467622</t>
        </is>
      </c>
    </row>
    <row r="6">
      <c r="A6" s="2" t="inlineStr">
        <is>
          <t>U5</t>
        </is>
      </c>
      <c r="B6" s="2" t="n">
        <v>1</v>
      </c>
      <c r="C6" s="2" t="inlineStr">
        <is>
          <t>AOZ1284PI</t>
        </is>
      </c>
      <c r="D6" s="2" t="inlineStr">
        <is>
          <t>SOIC-8-EP</t>
        </is>
      </c>
      <c r="E6" s="2" t="inlineStr">
        <is>
          <t>AOZ1284PI</t>
        </is>
      </c>
      <c r="F6" s="2" t="inlineStr">
        <is>
          <t>AOZ1284PI</t>
        </is>
      </c>
      <c r="G6" s="2" t="inlineStr">
        <is>
          <t>ALPHA&amp;OMEGA</t>
        </is>
      </c>
      <c r="H6" s="2" t="inlineStr">
        <is>
          <t>IC-1284 REG BUCK ADJ 4A 8SO</t>
        </is>
      </c>
      <c r="I6" s="2" t="n">
        <v>594873</v>
      </c>
      <c r="J6" s="2" t="n">
        <v>6659</v>
      </c>
      <c r="K6" s="2" t="n">
        <v>1</v>
      </c>
      <c r="L6" s="2" t="n">
        <v>1</v>
      </c>
      <c r="M6" s="2" t="n">
        <v>1</v>
      </c>
      <c r="N6" s="3" t="n">
        <v>47.1726</v>
      </c>
      <c r="O6" s="3" t="n">
        <v>47.17</v>
      </c>
      <c r="P6" s="5" t="inlineStr">
        <is>
          <t>Uygun</t>
        </is>
      </c>
      <c r="Q6" s="2" t="inlineStr">
        <is>
          <t>Önceden seçilmiş</t>
        </is>
      </c>
      <c r="R6" s="2" t="inlineStr">
        <is>
          <t>Şemada 'Tedarik: Ozdisan' notu var.</t>
        </is>
      </c>
      <c r="S6" s="6" t="inlineStr">
        <is>
          <t>https://www.ozdisan.com/p/dc-dc-voltaj-regulatorleri-275/alphaomega-aoz1284pi-594873</t>
        </is>
      </c>
    </row>
    <row r="7">
      <c r="A7" s="2" t="inlineStr">
        <is>
          <t>U6</t>
        </is>
      </c>
      <c r="B7" s="2" t="n">
        <v>1</v>
      </c>
      <c r="C7" s="2" t="inlineStr">
        <is>
          <t>TL431BIDBZR</t>
        </is>
      </c>
      <c r="D7" s="2" t="inlineStr">
        <is>
          <t>SOT-23</t>
        </is>
      </c>
      <c r="E7" s="2" t="inlineStr">
        <is>
          <t>TL431BIDBZR</t>
        </is>
      </c>
      <c r="F7" s="2" t="inlineStr">
        <is>
          <t>TL431AIDBZR</t>
        </is>
      </c>
      <c r="G7" s="2" t="inlineStr">
        <is>
          <t>TEXAS</t>
        </is>
      </c>
      <c r="H7" s="2" t="inlineStr">
        <is>
          <t>IC-431 REFERENCE +2.5..36V SOT23-3</t>
        </is>
      </c>
      <c r="I7" s="2" t="n">
        <v>341981</v>
      </c>
      <c r="J7" s="2" t="n">
        <v>2428</v>
      </c>
      <c r="K7" s="2" t="n">
        <v>1</v>
      </c>
      <c r="L7" s="2" t="n">
        <v>1</v>
      </c>
      <c r="M7" s="2" t="n">
        <v>1</v>
      </c>
      <c r="N7" s="3" t="n">
        <v>6.41547</v>
      </c>
      <c r="O7" s="3" t="n">
        <v>6.42</v>
      </c>
      <c r="P7" s="7" t="inlineStr">
        <is>
          <t>Muadil</t>
        </is>
      </c>
      <c r="Q7" s="2" t="inlineStr">
        <is>
          <t>Yeni seçildi</t>
        </is>
      </c>
      <c r="R7" s="2" t="inlineStr">
        <is>
          <t>B sınıfı (%0,5) stokta yok. Aynı TI DBZ pin dizilişli A sınıfı (%1) seçildi; V_CL kenetleme toleransı %1'e çıkar. %0,5 gerekiyorsa TL431LIBQDBZRQ1 (2647 stok, 32,74 TL) var, pin dizilişi doğrulanmalı.</t>
        </is>
      </c>
      <c r="S7" s="6" t="inlineStr">
        <is>
          <t>https://www.ozdisan.com/p/voltaj-referans-entegreleri-287/texas-tl431aidbzr-341981</t>
        </is>
      </c>
    </row>
    <row r="8">
      <c r="A8" s="2" t="inlineStr">
        <is>
          <t>U10</t>
        </is>
      </c>
      <c r="B8" s="2" t="n">
        <v>1</v>
      </c>
      <c r="C8" s="2" t="inlineStr">
        <is>
          <t>TPD4EUSB30</t>
        </is>
      </c>
      <c r="D8" s="2" t="inlineStr">
        <is>
          <t>USON-10</t>
        </is>
      </c>
      <c r="E8" s="2" t="inlineStr">
        <is>
          <t>TPD4EUSB30</t>
        </is>
      </c>
      <c r="F8" s="2" t="inlineStr"/>
      <c r="G8" s="2" t="inlineStr"/>
      <c r="H8" s="2" t="inlineStr"/>
      <c r="I8" s="2" t="n"/>
      <c r="J8" s="2" t="n"/>
      <c r="K8" s="2" t="n"/>
      <c r="L8" s="2" t="n"/>
      <c r="M8" s="2" t="n"/>
      <c r="N8" s="3" t="n"/>
      <c r="O8" s="3" t="n"/>
      <c r="P8" s="4" t="inlineStr">
        <is>
          <t>Stokta yok</t>
        </is>
      </c>
      <c r="Q8" s="2" t="inlineStr">
        <is>
          <t>Tasarım MPN'i</t>
        </is>
      </c>
      <c r="R8" s="2" t="inlineStr">
        <is>
          <t>Stokta yok. Stoktaki TPD4E1U06DBVR / TPD4E001DBVR SOT-23-6 kılıflı; kullanmak footprint değişikliği gerektirir.</t>
        </is>
      </c>
      <c r="S8" s="2" t="n"/>
    </row>
    <row r="9">
      <c r="A9" s="2" t="inlineStr">
        <is>
          <t>U11</t>
        </is>
      </c>
      <c r="B9" s="2" t="n">
        <v>1</v>
      </c>
      <c r="C9" s="2" t="inlineStr">
        <is>
          <t>TPS55340PWPR</t>
        </is>
      </c>
      <c r="D9" s="2" t="inlineStr">
        <is>
          <t>HTSSOP-14</t>
        </is>
      </c>
      <c r="E9" s="2" t="inlineStr">
        <is>
          <t>TPS55340PWPR</t>
        </is>
      </c>
      <c r="F9" s="2" t="inlineStr">
        <is>
          <t>TPS55340PWPR</t>
        </is>
      </c>
      <c r="G9" s="2" t="inlineStr">
        <is>
          <t>TEXAS</t>
        </is>
      </c>
      <c r="H9" s="2" t="inlineStr">
        <is>
          <t>IC-55340 REG BOOST ADJ 5.25A 14HTSSOP</t>
        </is>
      </c>
      <c r="I9" s="2" t="n">
        <v>645605</v>
      </c>
      <c r="J9" s="2" t="n">
        <v>449</v>
      </c>
      <c r="K9" s="2" t="n">
        <v>1</v>
      </c>
      <c r="L9" s="2" t="n">
        <v>1</v>
      </c>
      <c r="M9" s="2" t="n">
        <v>1</v>
      </c>
      <c r="N9" s="3" t="n">
        <v>96.1498</v>
      </c>
      <c r="O9" s="3" t="n">
        <v>96.15000000000001</v>
      </c>
      <c r="P9" s="5" t="inlineStr">
        <is>
          <t>Uygun</t>
        </is>
      </c>
      <c r="Q9" s="2" t="inlineStr">
        <is>
          <t>Tasarım MPN'i</t>
        </is>
      </c>
      <c r="R9" s="2" t="inlineStr"/>
      <c r="S9" s="6" t="inlineStr">
        <is>
          <t>https://www.ozdisan.com/p/dc-dc-voltaj-regulatorleri-275/texas-tps55340pwpr-645605</t>
        </is>
      </c>
    </row>
    <row r="10">
      <c r="A10" s="2" t="inlineStr">
        <is>
          <t>U12</t>
        </is>
      </c>
      <c r="B10" s="2" t="n">
        <v>1</v>
      </c>
      <c r="C10" s="2" t="inlineStr">
        <is>
          <t>AP74502Q</t>
        </is>
      </c>
      <c r="D10" s="2" t="inlineStr">
        <is>
          <t>TSOT-23-8</t>
        </is>
      </c>
      <c r="E10" s="2" t="inlineStr">
        <is>
          <t>AP74502Q</t>
        </is>
      </c>
      <c r="F10" s="2" t="inlineStr"/>
      <c r="G10" s="2" t="inlineStr"/>
      <c r="H10" s="2" t="inlineStr"/>
      <c r="I10" s="2" t="n"/>
      <c r="J10" s="2" t="n"/>
      <c r="K10" s="2" t="n"/>
      <c r="L10" s="2" t="n"/>
      <c r="M10" s="2" t="n"/>
      <c r="N10" s="3" t="n"/>
      <c r="O10" s="3" t="n"/>
      <c r="P10" s="4" t="inlineStr">
        <is>
          <t>Stokta yok</t>
        </is>
      </c>
      <c r="Q10" s="2" t="inlineStr">
        <is>
          <t>Tasarım MPN'i</t>
        </is>
      </c>
      <c r="R10" s="2" t="inlineStr">
        <is>
          <t>İdeal diyot kategorisi indekste; parça yok. Stokta yalnız LM74610/LM74801/TPS2115 var (farklı kılıf/işlev).</t>
        </is>
      </c>
      <c r="S10" s="2" t="n"/>
    </row>
    <row r="11">
      <c r="A11" s="2" t="inlineStr">
        <is>
          <t>Q1,Q2</t>
        </is>
      </c>
      <c r="B11" s="2" t="n">
        <v>2</v>
      </c>
      <c r="C11" s="2" t="inlineStr">
        <is>
          <t>BSS138</t>
        </is>
      </c>
      <c r="D11" s="2" t="inlineStr">
        <is>
          <t>SOT-23</t>
        </is>
      </c>
      <c r="E11" s="2" t="inlineStr">
        <is>
          <t>BSS138</t>
        </is>
      </c>
      <c r="F11" s="2" t="inlineStr">
        <is>
          <t>BSS138P,215</t>
        </is>
      </c>
      <c r="G11" s="2" t="inlineStr">
        <is>
          <t>NEXPERIA</t>
        </is>
      </c>
      <c r="H11" s="2" t="inlineStr">
        <is>
          <t>MOSFET 360mA 60V N-CH SOT23</t>
        </is>
      </c>
      <c r="I11" s="2" t="n">
        <v>737689</v>
      </c>
      <c r="J11" s="2" t="n">
        <v>73553</v>
      </c>
      <c r="K11" s="2" t="n">
        <v>5</v>
      </c>
      <c r="L11" s="2" t="n">
        <v>5</v>
      </c>
      <c r="M11" s="2" t="n">
        <v>5</v>
      </c>
      <c r="N11" s="3" t="n">
        <v>2.25609</v>
      </c>
      <c r="O11" s="3" t="n">
        <v>11.28</v>
      </c>
      <c r="P11" s="5" t="inlineStr">
        <is>
          <t>Uygun</t>
        </is>
      </c>
      <c r="Q11" s="2" t="inlineStr">
        <is>
          <t>Yeni seçildi</t>
        </is>
      </c>
      <c r="R11" s="2" t="inlineStr">
        <is>
          <t>Jenerik BSS138 karşılığı; 60V / 360mA, SOT-23 G-S-D.</t>
        </is>
      </c>
      <c r="S11" s="6" t="inlineStr">
        <is>
          <t>https://www.ozdisan.com/p/discrete-mosfetler-435/nexperia-bss138p-215-737689</t>
        </is>
      </c>
    </row>
    <row r="12">
      <c r="A12" s="2" t="inlineStr">
        <is>
          <t>Q3,Q5</t>
        </is>
      </c>
      <c r="B12" s="2" t="n">
        <v>2</v>
      </c>
      <c r="C12" s="2" t="inlineStr">
        <is>
          <t>SQJB60EP</t>
        </is>
      </c>
      <c r="D12" s="2" t="inlineStr">
        <is>
          <t>PowerPAK SO-8L Dual</t>
        </is>
      </c>
      <c r="E12" s="2" t="inlineStr">
        <is>
          <t>SQJB60EP-T1_GE3</t>
        </is>
      </c>
      <c r="F12" s="2" t="inlineStr">
        <is>
          <t>SQJB60EP-T1_GE3</t>
        </is>
      </c>
      <c r="G12" s="2" t="inlineStr">
        <is>
          <t>VISHAY SILICONIX</t>
        </is>
      </c>
      <c r="H12" s="2" t="inlineStr">
        <is>
          <t>MOSFET 30A 60V N-CH POWERPAK SO-8</t>
        </is>
      </c>
      <c r="I12" s="2" t="n">
        <v>700940</v>
      </c>
      <c r="J12" s="2" t="n">
        <v>107664</v>
      </c>
      <c r="K12" s="2" t="n">
        <v>1</v>
      </c>
      <c r="L12" s="2" t="n">
        <v>1</v>
      </c>
      <c r="M12" s="2" t="n">
        <v>2</v>
      </c>
      <c r="N12" s="3" t="n">
        <v>38.5753</v>
      </c>
      <c r="O12" s="3" t="n">
        <v>77.15000000000001</v>
      </c>
      <c r="P12" s="5" t="inlineStr">
        <is>
          <t>Uygun</t>
        </is>
      </c>
      <c r="Q12" s="2" t="inlineStr">
        <is>
          <t>Önceden seçilmiş</t>
        </is>
      </c>
      <c r="R12" s="2" t="inlineStr">
        <is>
          <t>Seçim raporu: design_decisions/reports/sqjb60ep-20260921. Footprint henüz atanmamış.</t>
        </is>
      </c>
      <c r="S12" s="6" t="inlineStr">
        <is>
          <t>https://www.ozdisan.com/p/discrete-mosfetler-435/vishay-siliconix-sqjb60ep-t1-ge3-700940</t>
        </is>
      </c>
    </row>
    <row r="13">
      <c r="A13" s="2" t="inlineStr">
        <is>
          <t>D2</t>
        </is>
      </c>
      <c r="B13" s="2" t="n">
        <v>1</v>
      </c>
      <c r="C13" s="2" t="inlineStr">
        <is>
          <t>SS2060FL</t>
        </is>
      </c>
      <c r="D13" s="2" t="inlineStr">
        <is>
          <t>SOD-123F</t>
        </is>
      </c>
      <c r="E13" s="2" t="inlineStr">
        <is>
          <t>SS2060FL_R1_00001</t>
        </is>
      </c>
      <c r="F13" s="2" t="inlineStr">
        <is>
          <t>SS2060FL_R1_00001</t>
        </is>
      </c>
      <c r="G13" s="2" t="inlineStr">
        <is>
          <t>PANJIT</t>
        </is>
      </c>
      <c r="H13" s="2" t="inlineStr">
        <is>
          <t>SCHOTTKY 2A 60V SOD123FL</t>
        </is>
      </c>
      <c r="I13" s="2" t="n">
        <v>574723</v>
      </c>
      <c r="J13" s="2" t="n">
        <v>51111</v>
      </c>
      <c r="K13" s="2" t="n">
        <v>2</v>
      </c>
      <c r="L13" s="2" t="n">
        <v>2</v>
      </c>
      <c r="M13" s="2" t="n">
        <v>2</v>
      </c>
      <c r="N13" s="3" t="n">
        <v>2.88212</v>
      </c>
      <c r="O13" s="3" t="n">
        <v>5.76</v>
      </c>
      <c r="P13" s="5" t="inlineStr">
        <is>
          <t>Uygun</t>
        </is>
      </c>
      <c r="Q13" s="2" t="inlineStr">
        <is>
          <t>Önceden seçilmiş</t>
        </is>
      </c>
      <c r="R13" s="2" t="inlineStr"/>
      <c r="S13" s="6" t="inlineStr">
        <is>
          <t>https://www.ozdisan.com/p/schottky-diyotlar-385/panjit-ss2060fl-r1-00001-574723</t>
        </is>
      </c>
    </row>
    <row r="14">
      <c r="A14" s="2" t="inlineStr">
        <is>
          <t>D3,D7</t>
        </is>
      </c>
      <c r="B14" s="2" t="n">
        <v>2</v>
      </c>
      <c r="C14" s="2" t="inlineStr">
        <is>
          <t>SMBJ30A</t>
        </is>
      </c>
      <c r="D14" s="2" t="inlineStr">
        <is>
          <t>SMB (DO-214AA)</t>
        </is>
      </c>
      <c r="E14" s="2" t="inlineStr">
        <is>
          <t>SMBJ30A</t>
        </is>
      </c>
      <c r="F14" s="2" t="inlineStr">
        <is>
          <t>SMBJ30A-E3/52</t>
        </is>
      </c>
      <c r="G14" s="2" t="inlineStr">
        <is>
          <t>VISHAY</t>
        </is>
      </c>
      <c r="H14" s="2" t="inlineStr">
        <is>
          <t>TVS 600W 30V SMB Uni</t>
        </is>
      </c>
      <c r="I14" s="2" t="n">
        <v>507320</v>
      </c>
      <c r="J14" s="2" t="n">
        <v>15956</v>
      </c>
      <c r="K14" s="2" t="n">
        <v>2</v>
      </c>
      <c r="L14" s="2" t="n">
        <v>2</v>
      </c>
      <c r="M14" s="2" t="n">
        <v>2</v>
      </c>
      <c r="N14" s="3" t="n">
        <v>4.31596</v>
      </c>
      <c r="O14" s="3" t="n">
        <v>8.630000000000001</v>
      </c>
      <c r="P14" s="5" t="inlineStr">
        <is>
          <t>Uygun</t>
        </is>
      </c>
      <c r="Q14" s="2" t="inlineStr">
        <is>
          <t>Yeni seçildi</t>
        </is>
      </c>
      <c r="R14" s="2" t="inlineStr">
        <is>
          <t>Şema açıklaması '400W / SMA' diyor ama footprint SMB; SMB/600W parça footprint'e uyar.</t>
        </is>
      </c>
      <c r="S14" s="6" t="inlineStr">
        <is>
          <t>https://www.ozdisan.com/p/tvs-diyotlar-386/vishay-smbj30a-e3-52-507320</t>
        </is>
      </c>
    </row>
    <row r="15">
      <c r="A15" s="2" t="inlineStr">
        <is>
          <t>D4</t>
        </is>
      </c>
      <c r="B15" s="2" t="n">
        <v>1</v>
      </c>
      <c r="C15" s="2" t="inlineStr">
        <is>
          <t>SS34 TBD</t>
        </is>
      </c>
      <c r="D15" s="2" t="inlineStr">
        <is>
          <t>SMA (DO-214AC)</t>
        </is>
      </c>
      <c r="E15" s="2" t="inlineStr">
        <is>
          <t>TBD</t>
        </is>
      </c>
      <c r="F15" s="2" t="inlineStr">
        <is>
          <t>SX36_R1_00001</t>
        </is>
      </c>
      <c r="G15" s="2" t="inlineStr">
        <is>
          <t>PANJIT</t>
        </is>
      </c>
      <c r="H15" s="2" t="inlineStr">
        <is>
          <t>SCHOTTKY 3A 60V SMA</t>
        </is>
      </c>
      <c r="I15" s="2" t="n">
        <v>574842</v>
      </c>
      <c r="J15" s="2" t="n">
        <v>437</v>
      </c>
      <c r="K15" s="2" t="n">
        <v>2</v>
      </c>
      <c r="L15" s="2" t="n">
        <v>2</v>
      </c>
      <c r="M15" s="2" t="n">
        <v>2</v>
      </c>
      <c r="N15" s="3" t="n">
        <v>4.5201</v>
      </c>
      <c r="O15" s="3" t="n">
        <v>9.039999999999999</v>
      </c>
      <c r="P15" s="5" t="inlineStr">
        <is>
          <t>Uygun</t>
        </is>
      </c>
      <c r="Q15" s="2" t="inlineStr">
        <is>
          <t>Yeni seçildi</t>
        </is>
      </c>
      <c r="R15" s="2" t="inlineStr">
        <is>
          <t>SS34 Özdisan'da yalnız SMC kılıfta var. SMA'da 3A/60V seçildi (V_PRE ~28V için pay). Alternatifler: MBRA340T3G 40V (191 stok), BX310 100V (19411 stok).</t>
        </is>
      </c>
      <c r="S15" s="6" t="inlineStr">
        <is>
          <t>https://www.ozdisan.com/p/schottky-diyotlar-385/panjit-sx36-r1-00001-574842</t>
        </is>
      </c>
    </row>
    <row r="16">
      <c r="A16" s="2" t="inlineStr">
        <is>
          <t>D5</t>
        </is>
      </c>
      <c r="B16" s="2" t="n">
        <v>1</v>
      </c>
      <c r="C16" s="2" t="inlineStr">
        <is>
          <t>BAT54</t>
        </is>
      </c>
      <c r="D16" s="2" t="inlineStr">
        <is>
          <t>SOD-123</t>
        </is>
      </c>
      <c r="E16" s="2" t="inlineStr">
        <is>
          <t>BAT54</t>
        </is>
      </c>
      <c r="F16" s="2" t="inlineStr">
        <is>
          <t>BAT54T1G</t>
        </is>
      </c>
      <c r="G16" s="2" t="inlineStr">
        <is>
          <t>ONS</t>
        </is>
      </c>
      <c r="H16" s="2" t="inlineStr">
        <is>
          <t>SCHOTTKY 200mA 30V SOD123 Single</t>
        </is>
      </c>
      <c r="I16" s="2" t="n">
        <v>614028</v>
      </c>
      <c r="J16" s="2" t="n">
        <v>595</v>
      </c>
      <c r="K16" s="2" t="n">
        <v>5</v>
      </c>
      <c r="L16" s="2" t="n">
        <v>5</v>
      </c>
      <c r="M16" s="2" t="n">
        <v>5</v>
      </c>
      <c r="N16" s="3" t="n">
        <v>1.42727</v>
      </c>
      <c r="O16" s="3" t="n">
        <v>7.14</v>
      </c>
      <c r="P16" s="5" t="inlineStr">
        <is>
          <t>Uygun</t>
        </is>
      </c>
      <c r="Q16" s="2" t="inlineStr">
        <is>
          <t>Yeni seçildi</t>
        </is>
      </c>
      <c r="R16" s="2" t="inlineStr">
        <is>
          <t>Otomatik MPN eşleşmesi BAT54A (çift, SOT-23) getirdi; footprint'e uyan tekli SOD-123 seçildi.</t>
        </is>
      </c>
      <c r="S16" s="6" t="inlineStr">
        <is>
          <t>https://www.ozdisan.com/p/schottky-diyotlar-385/ons-bat54t1g-614028</t>
        </is>
      </c>
    </row>
    <row r="17">
      <c r="A17" s="2" t="inlineStr">
        <is>
          <t>D6</t>
        </is>
      </c>
      <c r="B17" s="2" t="n">
        <v>1</v>
      </c>
      <c r="C17" s="2" t="inlineStr">
        <is>
          <t>BZT52C12</t>
        </is>
      </c>
      <c r="D17" s="2" t="inlineStr">
        <is>
          <t>SOD-123</t>
        </is>
      </c>
      <c r="E17" s="2" t="inlineStr">
        <is>
          <t>BZT52C12</t>
        </is>
      </c>
      <c r="F17" s="2" t="inlineStr">
        <is>
          <t>BZT52-C12_R1_00001</t>
        </is>
      </c>
      <c r="G17" s="2" t="inlineStr">
        <is>
          <t>PANJIT</t>
        </is>
      </c>
      <c r="H17" s="2" t="inlineStr">
        <is>
          <t>ZENER 410mW 12V SOD123 5%</t>
        </is>
      </c>
      <c r="I17" s="2" t="n">
        <v>560765</v>
      </c>
      <c r="J17" s="2" t="n">
        <v>4720</v>
      </c>
      <c r="K17" s="2" t="n">
        <v>5</v>
      </c>
      <c r="L17" s="2" t="n">
        <v>5</v>
      </c>
      <c r="M17" s="2" t="n">
        <v>5</v>
      </c>
      <c r="N17" s="3" t="n">
        <v>1.11884</v>
      </c>
      <c r="O17" s="3" t="n">
        <v>5.59</v>
      </c>
      <c r="P17" s="5" t="inlineStr">
        <is>
          <t>Uygun</t>
        </is>
      </c>
      <c r="Q17" s="2" t="inlineStr">
        <is>
          <t>Yeni seçildi</t>
        </is>
      </c>
      <c r="R17" s="2" t="inlineStr"/>
      <c r="S17" s="6" t="inlineStr">
        <is>
          <t>https://www.ozdisan.com/p/zener-diyotlar-390/panjit-bzt52-c12-r1-00001-560765</t>
        </is>
      </c>
    </row>
    <row r="18">
      <c r="A18" s="2" t="inlineStr">
        <is>
          <t>D1</t>
        </is>
      </c>
      <c r="B18" s="2" t="n">
        <v>1</v>
      </c>
      <c r="C18" s="2" t="inlineStr">
        <is>
          <t>LED</t>
        </is>
      </c>
      <c r="D18" s="2" t="inlineStr">
        <is>
          <t>0402</t>
        </is>
      </c>
      <c r="E18" s="2" t="inlineStr">
        <is>
          <t>TBD</t>
        </is>
      </c>
      <c r="F18" s="2" t="inlineStr">
        <is>
          <t>APHHS1005SURCK</t>
        </is>
      </c>
      <c r="G18" s="2" t="inlineStr">
        <is>
          <t>KINGBRIGHT</t>
        </is>
      </c>
      <c r="H18" s="2" t="inlineStr">
        <is>
          <t>LED SMD 0402 RED 630nm 220mcd</t>
        </is>
      </c>
      <c r="I18" s="2" t="n">
        <v>708179</v>
      </c>
      <c r="J18" s="2" t="n">
        <v>272</v>
      </c>
      <c r="K18" s="2" t="n">
        <v>1</v>
      </c>
      <c r="L18" s="2" t="n">
        <v>1</v>
      </c>
      <c r="M18" s="2" t="n">
        <v>1</v>
      </c>
      <c r="N18" s="3" t="n">
        <v>18.1675</v>
      </c>
      <c r="O18" s="3" t="n">
        <v>18.17</v>
      </c>
      <c r="P18" s="5" t="inlineStr">
        <is>
          <t>Uygun</t>
        </is>
      </c>
      <c r="Q18" s="2" t="inlineStr">
        <is>
          <t>Yeni seçildi</t>
        </is>
      </c>
      <c r="R18" s="2" t="inlineStr">
        <is>
          <t>21.09 ikinci kontrolde LED kategorisi indekslendi. Renk tasarımda tanımsız; R14 2k2 ile akım ~0,6 mA olduğundan yüksek verimli kırmızı seçildi. Alternatifler: APHHS1005CGCK yeşil (190 stok, 10,63 TL), 16-213SURC/S530-A3/TR8 kırmızı (150 stok, 1,94 TL, MOQ 10, daha sönük).</t>
        </is>
      </c>
      <c r="S18" s="6" t="inlineStr">
        <is>
          <t>https://www.ozdisan.com/p/sinyal-ledler-tek-renkli-361/kingbright-aphhs1005surck-708179</t>
        </is>
      </c>
    </row>
    <row r="19">
      <c r="A19" s="2" t="inlineStr">
        <is>
          <t>TH1</t>
        </is>
      </c>
      <c r="B19" s="2" t="n">
        <v>1</v>
      </c>
      <c r="C19" s="2" t="inlineStr">
        <is>
          <t>10k NTC</t>
        </is>
      </c>
      <c r="D19" s="2" t="inlineStr">
        <is>
          <t>0402</t>
        </is>
      </c>
      <c r="E19" s="2" t="inlineStr">
        <is>
          <t>TSM0B103F3381RZ</t>
        </is>
      </c>
      <c r="F19" s="2" t="inlineStr">
        <is>
          <t>TSM0B103F3381RZ</t>
        </is>
      </c>
      <c r="G19" s="2" t="inlineStr">
        <is>
          <t>THINKING</t>
        </is>
      </c>
      <c r="H19" s="2" t="inlineStr">
        <is>
          <t>NTC 0402 10K 1% B3380</t>
        </is>
      </c>
      <c r="I19" s="2" t="n">
        <v>509291</v>
      </c>
      <c r="J19" s="2" t="n">
        <v>8430</v>
      </c>
      <c r="K19" s="2" t="n">
        <v>5</v>
      </c>
      <c r="L19" s="2" t="n">
        <v>5</v>
      </c>
      <c r="M19" s="2" t="n">
        <v>5</v>
      </c>
      <c r="N19" s="3" t="n">
        <v>4.86845</v>
      </c>
      <c r="O19" s="3" t="n">
        <v>24.34</v>
      </c>
      <c r="P19" s="5" t="inlineStr">
        <is>
          <t>Uygun</t>
        </is>
      </c>
      <c r="Q19" s="2" t="inlineStr">
        <is>
          <t>Önceden seçilmiş</t>
        </is>
      </c>
      <c r="R19" s="2" t="inlineStr"/>
      <c r="S19" s="6" t="inlineStr">
        <is>
          <t>https://www.ozdisan.com/p/ntc-termistorler-852/thinking-tsm0b103f3381rz-509291</t>
        </is>
      </c>
    </row>
    <row r="20">
      <c r="A20" s="2" t="inlineStr">
        <is>
          <t>L1</t>
        </is>
      </c>
      <c r="B20" s="2" t="n">
        <v>1</v>
      </c>
      <c r="C20" s="2" t="inlineStr">
        <is>
          <t>22u</t>
        </is>
      </c>
      <c r="D20" s="2" t="inlineStr">
        <is>
          <t>7.3x7.3x4.5</t>
        </is>
      </c>
      <c r="E20" s="2" t="inlineStr">
        <is>
          <t>SRI0704-220M</t>
        </is>
      </c>
      <c r="F20" s="2" t="inlineStr"/>
      <c r="G20" s="2" t="inlineStr">
        <is>
          <t>CORE MASTER</t>
        </is>
      </c>
      <c r="H20" s="2" t="inlineStr"/>
      <c r="I20" s="2" t="n"/>
      <c r="J20" s="2" t="n"/>
      <c r="K20" s="2" t="n"/>
      <c r="L20" s="2" t="n"/>
      <c r="M20" s="2" t="n"/>
      <c r="N20" s="3" t="n"/>
      <c r="O20" s="3" t="n"/>
      <c r="P20" s="4" t="inlineStr">
        <is>
          <t>Stokta yok</t>
        </is>
      </c>
      <c r="Q20" s="2" t="inlineStr">
        <is>
          <t>Önceden seçilmiş</t>
        </is>
      </c>
      <c r="R20" s="2" t="inlineStr">
        <is>
          <t>11.09 raporunda Özdisan stoklu seçilmişti; bugün indekste yok (aynı serinin başka değerleri stokta). Aynı ayağa uyan 22µH stokta yok. En yakını ETQP5M220YFM (22µH 3.7A, 7.5x7 mm, 434 stok); farklı footprint.</t>
        </is>
      </c>
      <c r="S20" s="2" t="n"/>
    </row>
    <row r="21">
      <c r="A21" s="2" t="inlineStr">
        <is>
          <t>L3</t>
        </is>
      </c>
      <c r="B21" s="2" t="n">
        <v>1</v>
      </c>
      <c r="C21" s="2" t="inlineStr">
        <is>
          <t>6u8</t>
        </is>
      </c>
      <c r="D21" s="2" t="inlineStr">
        <is>
          <t>1210 (3225)</t>
        </is>
      </c>
      <c r="E21" s="2" t="inlineStr">
        <is>
          <t>TBD</t>
        </is>
      </c>
      <c r="F21" s="2" t="inlineStr">
        <is>
          <t>B82422H1682K000</t>
        </is>
      </c>
      <c r="G21" s="2" t="inlineStr">
        <is>
          <t>EPCOS (TDK)</t>
        </is>
      </c>
      <c r="H21" s="2" t="inlineStr">
        <is>
          <t>INDUCTOR 1210 6.8UH SMD</t>
        </is>
      </c>
      <c r="I21" s="2" t="n">
        <v>489001</v>
      </c>
      <c r="J21" s="2" t="n">
        <v>10</v>
      </c>
      <c r="K21" s="2" t="n">
        <v>1</v>
      </c>
      <c r="L21" s="2" t="n">
        <v>1</v>
      </c>
      <c r="M21" s="2" t="n">
        <v>1</v>
      </c>
      <c r="N21" s="3" t="n">
        <v>19.0045</v>
      </c>
      <c r="O21" s="3" t="n">
        <v>19</v>
      </c>
      <c r="P21" s="8" t="inlineStr">
        <is>
          <t>Uyarı</t>
        </is>
      </c>
      <c r="Q21" s="2" t="inlineStr">
        <is>
          <t>Yeni seçildi</t>
        </is>
      </c>
      <c r="R21" s="2" t="inlineStr">
        <is>
          <t>Footprint'e uyan tek parça. TPS55340 boost bobini için 1210 çip bobinin akımı (yüzlerce mA) yetersiz; tasarımda bobin/footprint kontrolü gerekli. Stok 10.</t>
        </is>
      </c>
      <c r="S21" s="6" t="inlineStr">
        <is>
          <t>https://www.ozdisan.com/p/sabit-induktorler-468/epcos-tdk-b82422h1682k000-489001</t>
        </is>
      </c>
    </row>
    <row r="22">
      <c r="A22" s="2" t="inlineStr">
        <is>
          <t>SW1,SW2</t>
        </is>
      </c>
      <c r="B22" s="2" t="n">
        <v>2</v>
      </c>
      <c r="C22" s="2" t="inlineStr">
        <is>
          <t>PTS810</t>
        </is>
      </c>
      <c r="D22" s="2" t="inlineStr">
        <is>
          <t>PTS810 SMD</t>
        </is>
      </c>
      <c r="E22" s="2" t="inlineStr">
        <is>
          <t>PTS810 SJS 250 SMTR LFS</t>
        </is>
      </c>
      <c r="F22" s="2" t="inlineStr">
        <is>
          <t>PTS810 SJS 250 SMTR LFS</t>
        </is>
      </c>
      <c r="G22" s="2" t="inlineStr">
        <is>
          <t>C&amp;K-LITTELFUSE</t>
        </is>
      </c>
      <c r="H22" s="2" t="inlineStr">
        <is>
          <t>SWITCH TACT 4.2x3.2 SMT</t>
        </is>
      </c>
      <c r="I22" s="2" t="n">
        <v>994927</v>
      </c>
      <c r="J22" s="2" t="n">
        <v>315791</v>
      </c>
      <c r="K22" s="2" t="n">
        <v>1</v>
      </c>
      <c r="L22" s="2" t="n">
        <v>1</v>
      </c>
      <c r="M22" s="2" t="n">
        <v>2</v>
      </c>
      <c r="N22" s="3" t="n">
        <v>10.9363</v>
      </c>
      <c r="O22" s="3" t="n">
        <v>21.87</v>
      </c>
      <c r="P22" s="5" t="inlineStr">
        <is>
          <t>Uygun</t>
        </is>
      </c>
      <c r="Q22" s="2" t="inlineStr">
        <is>
          <t>Önceden seçilmiş</t>
        </is>
      </c>
      <c r="R22" s="2" t="inlineStr"/>
      <c r="S22" s="6" t="inlineStr">
        <is>
          <t>https://www.ozdisan.com/p/tact-sivicler-485/littelfuse-ck-pts810-sjs-250-smtr-lfs-994927</t>
        </is>
      </c>
    </row>
    <row r="23">
      <c r="A23" s="2" t="inlineStr">
        <is>
          <t>SW3</t>
        </is>
      </c>
      <c r="B23" s="2" t="n">
        <v>1</v>
      </c>
      <c r="C23" s="2" t="inlineStr">
        <is>
          <t>EC1121S enkoder</t>
        </is>
      </c>
      <c r="D23" s="2" t="inlineStr">
        <is>
          <t>EC1121S THT</t>
        </is>
      </c>
      <c r="E23" s="2" t="inlineStr">
        <is>
          <t>L-KLS4-EC1121S-E5A-F12.5</t>
        </is>
      </c>
      <c r="F23" s="2" t="inlineStr">
        <is>
          <t>L-KLS4-EC1121S-E5A-F12.5</t>
        </is>
      </c>
      <c r="G23" s="2" t="inlineStr">
        <is>
          <t>KLS ELECTRONIC</t>
        </is>
      </c>
      <c r="H23" s="2" t="inlineStr">
        <is>
          <t>ENCODER 11MM WITH SWITCH</t>
        </is>
      </c>
      <c r="I23" s="2" t="n">
        <v>533942</v>
      </c>
      <c r="J23" s="2" t="n">
        <v>1013</v>
      </c>
      <c r="K23" s="2" t="n">
        <v>1</v>
      </c>
      <c r="L23" s="2" t="n">
        <v>1</v>
      </c>
      <c r="M23" s="2" t="n">
        <v>1</v>
      </c>
      <c r="N23" s="3" t="n">
        <v>31.2392</v>
      </c>
      <c r="O23" s="3" t="n">
        <v>31.24</v>
      </c>
      <c r="P23" s="5" t="inlineStr">
        <is>
          <t>Uygun</t>
        </is>
      </c>
      <c r="Q23" s="2" t="inlineStr">
        <is>
          <t>Tasarım MPN'i</t>
        </is>
      </c>
      <c r="R23" s="2" t="inlineStr">
        <is>
          <t>Şema sembolü/ayağı ile uyumlu olan seçildi. Ön BOM'daki L-KLS4-EC12-012424-W de stokta (93) ama footprint'e uymaz.</t>
        </is>
      </c>
      <c r="S23" s="6" t="inlineStr">
        <is>
          <t>https://www.ozdisan.com/p/enkoderler-532/kls-electronic-l-kls4-ec1121s-e5a-f12-5-533942</t>
        </is>
      </c>
    </row>
    <row r="24">
      <c r="A24" s="2" t="inlineStr">
        <is>
          <t>C33</t>
        </is>
      </c>
      <c r="B24" s="2" t="n">
        <v>1</v>
      </c>
      <c r="C24" s="2" t="inlineStr">
        <is>
          <t>1F5</t>
        </is>
      </c>
      <c r="D24" s="2" t="inlineStr">
        <is>
          <t>Ø19 H-tipi yatay coin, P20 (CR2032 yuvası yerine)</t>
        </is>
      </c>
      <c r="E24" s="2" t="inlineStr">
        <is>
          <t>DCL5R5155HF</t>
        </is>
      </c>
      <c r="F24" s="2" t="inlineStr">
        <is>
          <t>DCL5R5155HF</t>
        </is>
      </c>
      <c r="G24" s="2" t="inlineStr">
        <is>
          <t>KORCHIP</t>
        </is>
      </c>
      <c r="H24" s="2" t="inlineStr">
        <is>
          <t>CAP.SUPER 1.5F 5.5VDC 19x6.5 20mm H Type THT</t>
        </is>
      </c>
      <c r="I24" s="2" t="n">
        <v>954330</v>
      </c>
      <c r="J24" s="2" t="n">
        <v>289</v>
      </c>
      <c r="K24" s="2" t="n">
        <v>1</v>
      </c>
      <c r="L24" s="2" t="n">
        <v>1</v>
      </c>
      <c r="M24" s="2" t="n">
        <v>1</v>
      </c>
      <c r="N24" s="3" t="n">
        <v>58.556</v>
      </c>
      <c r="O24" s="3" t="n">
        <v>58.56</v>
      </c>
      <c r="P24" s="5" t="inlineStr">
        <is>
          <t>Uygun</t>
        </is>
      </c>
      <c r="Q24" s="2" t="inlineStr">
        <is>
          <t>Yeni seçildi</t>
        </is>
      </c>
      <c r="R24" s="2" t="inlineStr">
        <is>
          <t>21.09 RTC revizyonu: BT1 (CR2032) yerine süper kapasitör. 5,5V anma, ESR ≤30 Ω, −25…70°C. Yedek süre ≈ C·(3,3−1,4)/1,5 µA ≈ 22 gün (TCFE=1); kaçak akım bu süreyi kısaltır, prototipte ölçülmeli. Proje footprint'i: Power_Output_Custom:Korchip_DCL_H-Type_D19.0mm_P20.00mm_Horizontal (datasheet çiziminden; numune ile doğrulanmalı). Reflow'a girmez, elle lehim.</t>
        </is>
      </c>
      <c r="S24" s="6" t="inlineStr">
        <is>
          <t>https://www.ozdisan.com/p/elektrik-cift-katmanli-kapasitorler-super-kapasitorler-183/korchip-dcl5r5155hf-954330</t>
        </is>
      </c>
    </row>
    <row r="25">
      <c r="A25" s="2" t="inlineStr">
        <is>
          <t>Y1</t>
        </is>
      </c>
      <c r="B25" s="2" t="n">
        <v>1</v>
      </c>
      <c r="C25" s="2" t="inlineStr">
        <is>
          <t>32.768kHz</t>
        </is>
      </c>
      <c r="D25" s="2" t="inlineStr">
        <is>
          <t>ABS25 4-SMD 8.0x3.8</t>
        </is>
      </c>
      <c r="E25" s="2" t="inlineStr">
        <is>
          <t>ABS25-32.768KHZ-T</t>
        </is>
      </c>
      <c r="F25" s="2" t="inlineStr">
        <is>
          <t>ABS25-32.768KHZ-T</t>
        </is>
      </c>
      <c r="G25" s="2" t="inlineStr">
        <is>
          <t>ABRACON</t>
        </is>
      </c>
      <c r="H25" s="2" t="inlineStr">
        <is>
          <t>CRYSTAL 32.768kHz 12.5pF 20PPM 8X4X2.5 SMD</t>
        </is>
      </c>
      <c r="I25" s="2" t="n">
        <v>489027</v>
      </c>
      <c r="J25" s="2" t="n">
        <v>1534</v>
      </c>
      <c r="K25" s="2" t="n">
        <v>1</v>
      </c>
      <c r="L25" s="2" t="n">
        <v>1</v>
      </c>
      <c r="M25" s="2" t="n">
        <v>1</v>
      </c>
      <c r="N25" s="3" t="n">
        <v>18.7481</v>
      </c>
      <c r="O25" s="3" t="n">
        <v>18.75</v>
      </c>
      <c r="P25" s="5" t="inlineStr">
        <is>
          <t>Uygun</t>
        </is>
      </c>
      <c r="Q25" s="2" t="inlineStr">
        <is>
          <t>Yeni seçildi</t>
        </is>
      </c>
      <c r="R25" s="2" t="inlineStr">
        <is>
          <t>21.09 RTC revizyonu: BQ32000 kristali: CL 12,5 pF (datasheet 10,8–13,2 pF), ESR 50 kΩ (max 70 kΩ), ±20 ppm. Pin 1–4 kristal, 2–3 bağlantısız (şemada GND). 3215 alternatifleri (RT3215, ABS07) ESR 70 kΩ ile sınırda.</t>
        </is>
      </c>
      <c r="S25" s="6" t="inlineStr">
        <is>
          <t>https://www.ozdisan.com/p/kristaller-508/abracon-abs25-32-768khz-t-489027</t>
        </is>
      </c>
    </row>
    <row r="26">
      <c r="A26" s="2" t="inlineStr">
        <is>
          <t>J3</t>
        </is>
      </c>
      <c r="B26" s="2" t="n">
        <v>1</v>
      </c>
      <c r="C26" s="2" t="inlineStr">
        <is>
          <t>TFT032B018 FPC</t>
        </is>
      </c>
      <c r="D26" s="2" t="inlineStr">
        <is>
          <t>FPC 0.5mm 30p ZIF (40p Molex'ten)</t>
        </is>
      </c>
      <c r="E26" s="2" t="inlineStr">
        <is>
          <t>L-KLS1-242I-2.0-30-R</t>
        </is>
      </c>
      <c r="F26" s="2" t="inlineStr">
        <is>
          <t>L-KLS1-242I-2.0-30-R</t>
        </is>
      </c>
      <c r="G26" s="2" t="inlineStr">
        <is>
          <t>KLS ELECTRONIC</t>
        </is>
      </c>
      <c r="H26" s="2" t="inlineStr">
        <is>
          <t>CONN.FOR TFT SMT 30PIN 0.5MM FLIP TYPE</t>
        </is>
      </c>
      <c r="I26" s="2" t="n">
        <v>695049</v>
      </c>
      <c r="J26" s="2" t="n">
        <v>1248</v>
      </c>
      <c r="K26" s="2" t="n">
        <v>1</v>
      </c>
      <c r="L26" s="2" t="n">
        <v>1</v>
      </c>
      <c r="M26" s="2" t="n">
        <v>1</v>
      </c>
      <c r="N26" s="3" t="n">
        <v>12.6162</v>
      </c>
      <c r="O26" s="3" t="n">
        <v>12.62</v>
      </c>
      <c r="P26" s="5" t="inlineStr">
        <is>
          <t>Uygun</t>
        </is>
      </c>
      <c r="Q26" s="2" t="inlineStr">
        <is>
          <t>Yeni seçildi</t>
        </is>
      </c>
      <c r="R26" s="2" t="inlineStr">
        <is>
          <t>22.09 TFT032B018 revizyonu: NHD-2.4 (40p Molex 54132-4062) yerine TFT032B018 için 30p 0,5mm çift temaslı flip ZIF. Proje footprint'i Connector_FPC_Custom:KLS_L-KLS1-242I-2.0-30_1x30-2MP_P0.50mm_Horizontal (KLS1-242I datasheet PCB layout'undan; FPC yönü numune ile doğrulanmalı).</t>
        </is>
      </c>
      <c r="S26" s="6" t="inlineStr">
        <is>
          <t>https://www.ozdisan.com/p/ffc-ve-fpc-konnektorler-716/kls-electronic-l-kls1-242i-2-0-30-r-695049</t>
        </is>
      </c>
    </row>
    <row r="27">
      <c r="A27" s="2" t="inlineStr">
        <is>
          <t>Q7</t>
        </is>
      </c>
      <c r="B27" s="2" t="n">
        <v>1</v>
      </c>
      <c r="C27" s="2" t="inlineStr">
        <is>
          <t>IRLML6344</t>
        </is>
      </c>
      <c r="D27" s="2" t="inlineStr">
        <is>
          <t>SOT-23</t>
        </is>
      </c>
      <c r="E27" s="2" t="inlineStr">
        <is>
          <t>IRLML6344TRPBF</t>
        </is>
      </c>
      <c r="F27" s="2" t="inlineStr">
        <is>
          <t>IRLML6344TRPBF</t>
        </is>
      </c>
      <c r="G27" s="2" t="inlineStr">
        <is>
          <t>INFINEON</t>
        </is>
      </c>
      <c r="H27" s="2" t="inlineStr">
        <is>
          <t>MOSFET DIS.5A 30V N-CH SOT23 SMT</t>
        </is>
      </c>
      <c r="I27" s="2" t="n">
        <v>612260</v>
      </c>
      <c r="J27" s="2" t="n">
        <v>1274</v>
      </c>
      <c r="K27" s="2" t="n">
        <v>1</v>
      </c>
      <c r="L27" s="2" t="n">
        <v>1</v>
      </c>
      <c r="M27" s="2" t="n">
        <v>1</v>
      </c>
      <c r="N27" s="3" t="n">
        <v>5.80585</v>
      </c>
      <c r="O27" s="3" t="n">
        <v>5.81</v>
      </c>
      <c r="P27" s="5" t="inlineStr">
        <is>
          <t>Uygun</t>
        </is>
      </c>
      <c r="Q27" s="2" t="inlineStr">
        <is>
          <t>Yeni seçildi</t>
        </is>
      </c>
      <c r="R27" s="2" t="inlineStr">
        <is>
          <t>22.09 TFT032B018 revizyonu: Backlight düşük taraf anahtarı (BL_K), TFT_BL_PWM ile R28 üzerinden sürülür. Lojik seviye; Özdisan kaydı 30V / 5A / 29 mΩ / 1,3W.</t>
        </is>
      </c>
      <c r="S27" s="6" t="inlineStr">
        <is>
          <t>https://www.ozdisan.com/p/discrete-mosfetler-435/infineon-irlml6344trpbf-612260</t>
        </is>
      </c>
    </row>
    <row r="28">
      <c r="A28" s="2" t="inlineStr">
        <is>
          <t>R60</t>
        </is>
      </c>
      <c r="B28" s="2" t="n">
        <v>1</v>
      </c>
      <c r="C28" s="2" t="inlineStr">
        <is>
          <t>5R6</t>
        </is>
      </c>
      <c r="D28" s="2" t="inlineStr">
        <is>
          <t>0805</t>
        </is>
      </c>
      <c r="E28" s="2" t="inlineStr">
        <is>
          <t>TBD</t>
        </is>
      </c>
      <c r="F28" s="2" t="inlineStr">
        <is>
          <t>CRT05J7F5R60</t>
        </is>
      </c>
      <c r="G28" s="2" t="inlineStr">
        <is>
          <t>VIKING</t>
        </is>
      </c>
      <c r="H28" s="2" t="inlineStr">
        <is>
          <t>RES 0805 5.6R 5% 1/8W 100PPM</t>
        </is>
      </c>
      <c r="I28" s="2" t="n">
        <v>1054409</v>
      </c>
      <c r="J28" s="2" t="n">
        <v>90200</v>
      </c>
      <c r="K28" s="2" t="n">
        <v>100</v>
      </c>
      <c r="L28" s="2" t="n">
        <v>100</v>
      </c>
      <c r="M28" s="2" t="n">
        <v>100</v>
      </c>
      <c r="N28" s="3" t="n">
        <v>0.07325</v>
      </c>
      <c r="O28" s="3" t="n">
        <v>7.32</v>
      </c>
      <c r="P28" s="5" t="inlineStr">
        <is>
          <t>Uygun</t>
        </is>
      </c>
      <c r="Q28" s="2" t="inlineStr">
        <is>
          <t>Yeni seçildi</t>
        </is>
      </c>
      <c r="R28" s="2" t="inlineStr">
        <is>
          <t>22.09 TFT032B018 revizyonu: Backlight akım direnci, +3.3V → BL_A. I = (3,32 − VF)/5,6 ≈ 21…93 mA (VF 3,2…2,8V), tipik ~57 mA; ≤100 mA panel sınırı korunur. 93 mA'de 48 mW (1/8W). Parlaklık numune ile ölçülüp değer ayarlanabilir.</t>
        </is>
      </c>
      <c r="S28" s="6" t="inlineStr">
        <is>
          <t>https://www.ozdisan.com/p/smt-smd-ve-cip-direncler-194/viking-crt05j7f5r60-1054409</t>
        </is>
      </c>
    </row>
    <row r="29">
      <c r="A29" s="2" t="inlineStr">
        <is>
          <t>TFT (şema dışı)</t>
        </is>
      </c>
      <c r="B29" s="2" t="n">
        <v>1</v>
      </c>
      <c r="C29" s="2" t="inlineStr">
        <is>
          <t>TFT032B018</t>
        </is>
      </c>
      <c r="D29" s="2" t="inlineStr">
        <is>
          <t>3.2in IPS modül</t>
        </is>
      </c>
      <c r="E29" s="2" t="inlineStr">
        <is>
          <t>TFT032B018</t>
        </is>
      </c>
      <c r="F29" s="2" t="inlineStr">
        <is>
          <t>TFT032B018</t>
        </is>
      </c>
      <c r="G29" s="2" t="inlineStr">
        <is>
          <t>XIAMEN PRECISE</t>
        </is>
      </c>
      <c r="H29" s="2" t="inlineStr">
        <is>
          <t>TFT PANEL 3.2" 240x320 MCU / SERIAL INTERFACE 30P</t>
        </is>
      </c>
      <c r="I29" s="2" t="n">
        <v>1564112</v>
      </c>
      <c r="J29" s="2" t="n">
        <v>5</v>
      </c>
      <c r="K29" s="2" t="n">
        <v>1</v>
      </c>
      <c r="L29" s="2" t="n">
        <v>1</v>
      </c>
      <c r="M29" s="2" t="n">
        <v>1</v>
      </c>
      <c r="N29" s="3" t="n">
        <v>298.662</v>
      </c>
      <c r="O29" s="3" t="n">
        <v>298.66</v>
      </c>
      <c r="P29" s="8" t="inlineStr">
        <is>
          <t>Uyarı</t>
        </is>
      </c>
      <c r="Q29" s="2" t="inlineStr">
        <is>
          <t>Yeni seçildi</t>
        </is>
      </c>
      <c r="R29" s="2" t="inlineStr">
        <is>
          <t>22.09 TFT032B018 revizyonu: Ekran modülü (şemada sembol yok, J3'e takılır). ST7789V2, 4 telli SPI, IPS, 5 paralel LED VF 3,0V/100 mA. Stok yalnız 5 (MPQ 10): seri üretim için temin süresi sorulmalı. Parlaklık datasheet'te belirtilmemiş.</t>
        </is>
      </c>
      <c r="S29" s="6" t="inlineStr">
        <is>
          <t>https://www.ozdisan.com/p/tft-paneller-381/xiamen-precise-tft032b018-1564112</t>
        </is>
      </c>
    </row>
    <row r="30">
      <c r="A30" s="2" t="inlineStr">
        <is>
          <t>J4</t>
        </is>
      </c>
      <c r="B30" s="2" t="n">
        <v>1</v>
      </c>
      <c r="C30" s="2" t="inlineStr">
        <is>
          <t>Klemens 2p</t>
        </is>
      </c>
      <c r="D30" s="2" t="inlineStr">
        <is>
          <t>5.08mm THT</t>
        </is>
      </c>
      <c r="E30" s="2" t="inlineStr">
        <is>
          <t>DG142R-5.08-02P-14-00AH</t>
        </is>
      </c>
      <c r="F30" s="2" t="inlineStr">
        <is>
          <t>DG142R-5.08-02P-14-00AH</t>
        </is>
      </c>
      <c r="G30" s="2" t="inlineStr">
        <is>
          <t>DEGSON</t>
        </is>
      </c>
      <c r="H30" s="2" t="inlineStr">
        <is>
          <t>TERM.BLK.5.08MM 2P PCB SPRING TYPE</t>
        </is>
      </c>
      <c r="I30" s="2" t="n">
        <v>695538</v>
      </c>
      <c r="J30" s="2" t="n">
        <v>1624</v>
      </c>
      <c r="K30" s="2" t="n">
        <v>1</v>
      </c>
      <c r="L30" s="2" t="n">
        <v>1</v>
      </c>
      <c r="M30" s="2" t="n">
        <v>1</v>
      </c>
      <c r="N30" s="3" t="n">
        <v>7.80747</v>
      </c>
      <c r="O30" s="3" t="n">
        <v>7.81</v>
      </c>
      <c r="P30" s="5" t="inlineStr">
        <is>
          <t>Uygun</t>
        </is>
      </c>
      <c r="Q30" s="2" t="inlineStr">
        <is>
          <t>Tasarım MPN'i</t>
        </is>
      </c>
      <c r="R30" s="2" t="inlineStr">
        <is>
          <t>21.09 ikinci kontrolde indekste bulundu.</t>
        </is>
      </c>
      <c r="S30" s="6" t="inlineStr">
        <is>
          <t>https://www.ozdisan.com/p/pcb-klemensler-410/degson-dg142r-5-08-02p-14-00ah-695538</t>
        </is>
      </c>
    </row>
    <row r="31">
      <c r="A31" s="2" t="inlineStr">
        <is>
          <t>J5</t>
        </is>
      </c>
      <c r="B31" s="2" t="n">
        <v>1</v>
      </c>
      <c r="C31" s="2" t="inlineStr">
        <is>
          <t>Binding post</t>
        </is>
      </c>
      <c r="D31" s="2" t="inlineStr">
        <is>
          <t>Panel</t>
        </is>
      </c>
      <c r="E31" s="2" t="inlineStr">
        <is>
          <t>108-0902-001</t>
        </is>
      </c>
      <c r="F31" s="2" t="inlineStr"/>
      <c r="G31" s="2" t="inlineStr">
        <is>
          <t>CINCH JOHNSON</t>
        </is>
      </c>
      <c r="H31" s="2" t="inlineStr"/>
      <c r="I31" s="2" t="n"/>
      <c r="J31" s="2" t="n"/>
      <c r="K31" s="2" t="n"/>
      <c r="L31" s="2" t="n"/>
      <c r="M31" s="2" t="n"/>
      <c r="N31" s="3" t="n"/>
      <c r="O31" s="3" t="n"/>
      <c r="P31" s="9" t="inlineStr">
        <is>
          <t>İndekste yok</t>
        </is>
      </c>
      <c r="Q31" s="2" t="inlineStr">
        <is>
          <t>Tasarım MPN'i</t>
        </is>
      </c>
      <c r="R31" s="2" t="inlineStr">
        <is>
          <t>21.09 ikinci kontrol: binding post / banana kategorisi hâlâ indekslenmemiş; '108-09' araması sonuç vermedi.</t>
        </is>
      </c>
      <c r="S31" s="2" t="n"/>
    </row>
    <row r="32">
      <c r="A32" s="2" t="inlineStr">
        <is>
          <t>J6</t>
        </is>
      </c>
      <c r="B32" s="2" t="n">
        <v>1</v>
      </c>
      <c r="C32" s="2" t="inlineStr">
        <is>
          <t>Binding post</t>
        </is>
      </c>
      <c r="D32" s="2" t="inlineStr">
        <is>
          <t>Panel</t>
        </is>
      </c>
      <c r="E32" s="2" t="inlineStr">
        <is>
          <t>108-0903-001</t>
        </is>
      </c>
      <c r="F32" s="2" t="inlineStr"/>
      <c r="G32" s="2" t="inlineStr">
        <is>
          <t>CINCH JOHNSON</t>
        </is>
      </c>
      <c r="H32" s="2" t="inlineStr"/>
      <c r="I32" s="2" t="n"/>
      <c r="J32" s="2" t="n"/>
      <c r="K32" s="2" t="n"/>
      <c r="L32" s="2" t="n"/>
      <c r="M32" s="2" t="n"/>
      <c r="N32" s="3" t="n"/>
      <c r="O32" s="3" t="n"/>
      <c r="P32" s="9" t="inlineStr">
        <is>
          <t>İndekste yok</t>
        </is>
      </c>
      <c r="Q32" s="2" t="inlineStr">
        <is>
          <t>Tasarım MPN'i</t>
        </is>
      </c>
      <c r="R32" s="2" t="inlineStr">
        <is>
          <t>21.09 ikinci kontrol: binding post / banana kategorisi hâlâ indekslenmemiş; '108-09' araması sonuç vermedi.</t>
        </is>
      </c>
      <c r="S32" s="2" t="n"/>
    </row>
    <row r="33">
      <c r="A33" s="2" t="inlineStr">
        <is>
          <t>J7</t>
        </is>
      </c>
      <c r="B33" s="2" t="n">
        <v>1</v>
      </c>
      <c r="C33" s="2" t="inlineStr">
        <is>
          <t>USB-C 16P</t>
        </is>
      </c>
      <c r="D33" s="2" t="inlineStr">
        <is>
          <t>USB-C Top Mount</t>
        </is>
      </c>
      <c r="E33" s="2" t="inlineStr">
        <is>
          <t>USB4105-GF-A</t>
        </is>
      </c>
      <c r="F33" s="2" t="inlineStr">
        <is>
          <t>USB4105-GF-A</t>
        </is>
      </c>
      <c r="G33" s="2" t="inlineStr">
        <is>
          <t>GCT</t>
        </is>
      </c>
      <c r="H33" s="2" t="inlineStr">
        <is>
          <t>CONNECTOR RCP USB 2.0 TYPE C 24P SMD RA</t>
        </is>
      </c>
      <c r="I33" s="2" t="n">
        <v>955183</v>
      </c>
      <c r="J33" s="2" t="n">
        <v>93</v>
      </c>
      <c r="K33" s="2" t="n">
        <v>1</v>
      </c>
      <c r="L33" s="2" t="n">
        <v>1</v>
      </c>
      <c r="M33" s="2" t="n">
        <v>1</v>
      </c>
      <c r="N33" s="3" t="n">
        <v>55.1049</v>
      </c>
      <c r="O33" s="3" t="n">
        <v>55.1</v>
      </c>
      <c r="P33" s="5" t="inlineStr">
        <is>
          <t>Uygun</t>
        </is>
      </c>
      <c r="Q33" s="2" t="inlineStr">
        <is>
          <t>Tasarım MPN'i</t>
        </is>
      </c>
      <c r="R33" s="2" t="inlineStr">
        <is>
          <t>21.09 üçüncü tur: USB konnektör kategorisi indekslendi; tasarımdaki parçanın kendisi stokta (93). Muadil gerekirse: GCT USB4110-GF-A (223 stok, farklı footprint), KLS L-KLS1-5409-L2-01-R 16P (425 stok) — 5A akım değeri ve footprint doğrulanmalı.</t>
        </is>
      </c>
      <c r="S33" s="6" t="inlineStr">
        <is>
          <t>https://www.ozdisan.com/p/usb-konnektorler-357/gct-usb4105-gf-a-955183</t>
        </is>
      </c>
    </row>
    <row r="34">
      <c r="A34" s="2" t="inlineStr">
        <is>
          <t>TP1-TP13</t>
        </is>
      </c>
      <c r="B34" s="2" t="n">
        <v>13</v>
      </c>
      <c r="C34" s="2" t="inlineStr">
        <is>
          <t>TestPoint</t>
        </is>
      </c>
      <c r="D34" s="2" t="inlineStr">
        <is>
          <t>SMD pad</t>
        </is>
      </c>
      <c r="E34" s="2" t="inlineStr">
        <is>
          <t>N/A</t>
        </is>
      </c>
      <c r="F34" s="2" t="inlineStr"/>
      <c r="G34" s="2" t="inlineStr"/>
      <c r="H34" s="2" t="inlineStr"/>
      <c r="I34" s="2" t="n"/>
      <c r="J34" s="2" t="n"/>
      <c r="K34" s="2" t="n"/>
      <c r="L34" s="2" t="n"/>
      <c r="M34" s="2" t="n"/>
      <c r="N34" s="3" t="n"/>
      <c r="O34" s="3" t="n"/>
      <c r="P34" s="10" t="inlineStr">
        <is>
          <t>Satın alınmaz</t>
        </is>
      </c>
      <c r="Q34" s="2" t="inlineStr">
        <is>
          <t>Tasarım MPN'i</t>
        </is>
      </c>
      <c r="R34" s="2" t="inlineStr">
        <is>
          <t>Kart üzerindeki pad; satın alınmaz.</t>
        </is>
      </c>
      <c r="S34" s="2" t="n"/>
    </row>
    <row r="35">
      <c r="A35" s="2" t="inlineStr">
        <is>
          <t>C1,C2,C6,C11,C14,C17,C24,C26,C32</t>
        </is>
      </c>
      <c r="B35" s="2" t="n">
        <v>9</v>
      </c>
      <c r="C35" s="2" t="inlineStr">
        <is>
          <t>100n</t>
        </is>
      </c>
      <c r="D35" s="2" t="inlineStr">
        <is>
          <t>0402</t>
        </is>
      </c>
      <c r="E35" s="2" t="inlineStr">
        <is>
          <t>TBD</t>
        </is>
      </c>
      <c r="F35" s="2" t="inlineStr">
        <is>
          <t>CC0402KRX7R9BB104</t>
        </is>
      </c>
      <c r="G35" s="2" t="inlineStr">
        <is>
          <t>YAGEO</t>
        </is>
      </c>
      <c r="H35" s="2" t="inlineStr">
        <is>
          <t>MLCC 0402 100nF 50V X7R 10%</t>
        </is>
      </c>
      <c r="I35" s="2" t="n">
        <v>609906</v>
      </c>
      <c r="J35" s="2" t="n">
        <v>117450</v>
      </c>
      <c r="K35" s="2" t="n">
        <v>5</v>
      </c>
      <c r="L35" s="2" t="n">
        <v>5</v>
      </c>
      <c r="M35" s="2" t="n">
        <v>10</v>
      </c>
      <c r="N35" s="3" t="n">
        <v>1.06864</v>
      </c>
      <c r="O35" s="3" t="n">
        <v>10.69</v>
      </c>
      <c r="P35" s="5" t="inlineStr">
        <is>
          <t>Uygun</t>
        </is>
      </c>
      <c r="Q35" s="2" t="inlineStr">
        <is>
          <t>Yeni seçildi</t>
        </is>
      </c>
      <c r="R35" s="2" t="inlineStr">
        <is>
          <t>Tek MPN: C14/C26/C32 28V raylarında olduğu için 50V. Yalnız 3.3V hatları için 16V CL05B104KO5NNNC (0,17 TL) de kullanılabilir.</t>
        </is>
      </c>
      <c r="S35" s="6" t="inlineStr">
        <is>
          <t>https://www.ozdisan.com/p/smt-smd-ve-mlcc-kapasitorler-184/yageo-cc0402krx7r9bb104-609906</t>
        </is>
      </c>
    </row>
    <row r="36">
      <c r="A36" s="2" t="inlineStr">
        <is>
          <t>C3</t>
        </is>
      </c>
      <c r="B36" s="2" t="n">
        <v>1</v>
      </c>
      <c r="C36" s="2" t="inlineStr">
        <is>
          <t>2u2</t>
        </is>
      </c>
      <c r="D36" s="2" t="inlineStr">
        <is>
          <t>0805</t>
        </is>
      </c>
      <c r="E36" s="2" t="inlineStr">
        <is>
          <t>TBD</t>
        </is>
      </c>
      <c r="F36" s="2" t="inlineStr">
        <is>
          <t>CL21A225KB9LNNC</t>
        </is>
      </c>
      <c r="G36" s="2" t="inlineStr">
        <is>
          <t>SAMSUNG</t>
        </is>
      </c>
      <c r="H36" s="2" t="inlineStr">
        <is>
          <t>MLCC 0805 2.2uF 50V X5R 10%</t>
        </is>
      </c>
      <c r="I36" s="2" t="n">
        <v>522705</v>
      </c>
      <c r="J36" s="2" t="n">
        <v>52721</v>
      </c>
      <c r="K36" s="2" t="n">
        <v>1</v>
      </c>
      <c r="L36" s="2" t="n">
        <v>1</v>
      </c>
      <c r="M36" s="2" t="n">
        <v>1</v>
      </c>
      <c r="N36" s="3" t="n">
        <v>7.2002</v>
      </c>
      <c r="O36" s="3" t="n">
        <v>7.2</v>
      </c>
      <c r="P36" s="5" t="inlineStr">
        <is>
          <t>Uygun</t>
        </is>
      </c>
      <c r="Q36" s="2" t="inlineStr">
        <is>
          <t>Yeni seçildi</t>
        </is>
      </c>
      <c r="R36" s="2" t="inlineStr">
        <is>
          <t>21.09 üçüncü tur: Değer değiştirerek X7R'ye geçmek mümkün değil: 0805 50V X7R'de yalnız 1 µF var ve %10 toleransla 0,9 µF'a iner, cSnkBulk ≥1 µF alt sınırını ihlal eder. 2,2 µF X5R vSafe5V'ta ~2 µF efektif kalır (1–10 µF aralığında); X7R şartının amacı olan DC-bias altında ≥1 µF garantisi sağlanıyor. Bu yüzden değer korunarak mevcut parça bırakıldı. Daha fazla pay istenirse 4,7 µF 50V X5R CL21A475KBQNNNE (421250 stok) de cSnkBulk içinde kalır.</t>
        </is>
      </c>
      <c r="S36" s="6" t="inlineStr">
        <is>
          <t>https://www.ozdisan.com/p/smt-smd-ve-mlcc-kapasitorler-184/samsung-cl21a225kb9lnnc-522705</t>
        </is>
      </c>
    </row>
    <row r="37">
      <c r="A37" s="2" t="inlineStr">
        <is>
          <t>C4,C7,C9,C34</t>
        </is>
      </c>
      <c r="B37" s="2" t="n">
        <v>4</v>
      </c>
      <c r="C37" s="2" t="inlineStr">
        <is>
          <t>1u0</t>
        </is>
      </c>
      <c r="D37" s="2" t="inlineStr">
        <is>
          <t>0402</t>
        </is>
      </c>
      <c r="E37" s="2" t="inlineStr">
        <is>
          <t>TBD</t>
        </is>
      </c>
      <c r="F37" s="2" t="inlineStr">
        <is>
          <t>EMK105BJ105KVHF</t>
        </is>
      </c>
      <c r="G37" s="2" t="inlineStr">
        <is>
          <t>TAIYO YUDEN</t>
        </is>
      </c>
      <c r="H37" s="2" t="inlineStr">
        <is>
          <t>MLCC 0402 1uF 16V X5R 10%</t>
        </is>
      </c>
      <c r="I37" s="2" t="n">
        <v>623573</v>
      </c>
      <c r="J37" s="2" t="n">
        <v>5005</v>
      </c>
      <c r="K37" s="2" t="n">
        <v>5</v>
      </c>
      <c r="L37" s="2" t="n">
        <v>5</v>
      </c>
      <c r="M37" s="2" t="n">
        <v>5</v>
      </c>
      <c r="N37" s="3" t="n">
        <v>2.27172</v>
      </c>
      <c r="O37" s="3" t="n">
        <v>11.36</v>
      </c>
      <c r="P37" s="5" t="inlineStr">
        <is>
          <t>Uygun</t>
        </is>
      </c>
      <c r="Q37" s="2" t="inlineStr">
        <is>
          <t>Yeni seçildi</t>
        </is>
      </c>
      <c r="R37" s="2" t="inlineStr">
        <is>
          <t>C4 (PD_5V) için ≥10V şartını karşılar. C9: BQ32000 VCC dekuplajı, datasheet ≥1 µF istiyor (100n → 1u0). C34: TFT032B018 VCI/IOVCC dekuplajı (J3 yanında).</t>
        </is>
      </c>
      <c r="S37" s="6" t="inlineStr">
        <is>
          <t>https://www.ozdisan.com/p/smt-smd-ve-mlcc-kapasitorler-184/taiyo-yuden-emk105bj105kvhf-623573</t>
        </is>
      </c>
    </row>
    <row r="38">
      <c r="A38" s="2" t="inlineStr">
        <is>
          <t>C5</t>
        </is>
      </c>
      <c r="B38" s="2" t="n">
        <v>1</v>
      </c>
      <c r="C38" s="2" t="inlineStr">
        <is>
          <t>22u</t>
        </is>
      </c>
      <c r="D38" s="2" t="inlineStr">
        <is>
          <t>0805 (0402'den büyütüldü)</t>
        </is>
      </c>
      <c r="E38" s="2" t="inlineStr">
        <is>
          <t>TBD</t>
        </is>
      </c>
      <c r="F38" s="2" t="inlineStr">
        <is>
          <t>GRT21BC81A226ME13K</t>
        </is>
      </c>
      <c r="G38" s="2" t="inlineStr">
        <is>
          <t>MURATA</t>
        </is>
      </c>
      <c r="H38" s="2" t="inlineStr">
        <is>
          <t>MLCC 0805 22uF 10V X6S 20% AEC-Q200</t>
        </is>
      </c>
      <c r="I38" s="2" t="n">
        <v>810882</v>
      </c>
      <c r="J38" s="2" t="n">
        <v>709</v>
      </c>
      <c r="K38" s="2" t="n">
        <v>1</v>
      </c>
      <c r="L38" s="2" t="n">
        <v>1</v>
      </c>
      <c r="M38" s="2" t="n">
        <v>1</v>
      </c>
      <c r="N38" s="3" t="n">
        <v>16.3012</v>
      </c>
      <c r="O38" s="3" t="n">
        <v>16.3</v>
      </c>
      <c r="P38" s="5" t="inlineStr">
        <is>
          <t>Uygun</t>
        </is>
      </c>
      <c r="Q38" s="2" t="inlineStr">
        <is>
          <t>Yeni seçildi</t>
        </is>
      </c>
      <c r="R38" s="2" t="inlineStr">
        <is>
          <t>21.09 üçüncü tur: Footprint 0402 → 0805. 10V X6S (+105°C); ESP32 +3.3V bulk. (22.09: C20/C21 TFT032B018 revizyonunda kalktı.)</t>
        </is>
      </c>
      <c r="S38" s="6" t="inlineStr">
        <is>
          <t>https://www.ozdisan.com/p/smt-smd-ve-mlcc-kapasitorler-184/murata-grt21bc81a226me13k-810882</t>
        </is>
      </c>
    </row>
    <row r="39">
      <c r="A39" s="2" t="inlineStr">
        <is>
          <t>C8,C12,C13,C25,C27,C28</t>
        </is>
      </c>
      <c r="B39" s="2" t="n">
        <v>6</v>
      </c>
      <c r="C39" s="2" t="inlineStr">
        <is>
          <t>4u7 (10u yerine)</t>
        </is>
      </c>
      <c r="D39" s="2" t="inlineStr">
        <is>
          <t>1210 (C8: 0402'den)</t>
        </is>
      </c>
      <c r="E39" s="2" t="inlineStr">
        <is>
          <t>TBD</t>
        </is>
      </c>
      <c r="F39" s="2" t="inlineStr">
        <is>
          <t>CL32B475KBJNNNE</t>
        </is>
      </c>
      <c r="G39" s="2" t="inlineStr">
        <is>
          <t>SAMSUNG</t>
        </is>
      </c>
      <c r="H39" s="2" t="inlineStr">
        <is>
          <t>MLCC 1210 4.7uF 50V X7R 10%</t>
        </is>
      </c>
      <c r="I39" s="2" t="n">
        <v>1206577</v>
      </c>
      <c r="J39" s="2" t="n">
        <v>37121</v>
      </c>
      <c r="K39" s="2" t="n">
        <v>1</v>
      </c>
      <c r="L39" s="2" t="n">
        <v>1</v>
      </c>
      <c r="M39" s="2" t="n">
        <v>6</v>
      </c>
      <c r="N39" s="3" t="n">
        <v>17.6897</v>
      </c>
      <c r="O39" s="3" t="n">
        <v>106.14</v>
      </c>
      <c r="P39" s="7" t="inlineStr">
        <is>
          <t>Muadil</t>
        </is>
      </c>
      <c r="Q39" s="2" t="inlineStr">
        <is>
          <t>Yeni seçildi</t>
        </is>
      </c>
      <c r="R39" s="2" t="inlineStr">
        <is>
          <t>21.09 üçüncü tur: Ortak seçim: 1210 4,7 µF / 50V X7R (1210'da 10 µF 50V stokta yok; 2220 10 µF 100V C5750X7S2A106M230KB var ama tanesi 122,6 TL). C8 footprint'i 0402 → 1210. V_PRE'de 4 adet (C12,C13,C27,C28) = 18,8 µF nominal, 28V'ta ~11 µF efektif → 'C12+C13 ≥10 µF' hedefinin karşılığı dört parçayla sağlanır; 5,02V boost modunda ~18 µF efektif (eski 2×10 µF ile eşdeğer), TPS55340 döngüsü ölçümle doğrulanmalı. PD_VOUT'ta C8+C25 = 9,4 µF + C29; toplam cSnkBulkPd ≤100 µF içinde.</t>
        </is>
      </c>
      <c r="S39" s="6" t="inlineStr">
        <is>
          <t>https://www.ozdisan.com/p/smt-smd-ve-mlcc-kapasitorler-184/samsung-cl32b475kbjnnne-1206577</t>
        </is>
      </c>
    </row>
    <row r="40">
      <c r="A40" s="2" t="inlineStr">
        <is>
          <t>C15,C29</t>
        </is>
      </c>
      <c r="B40" s="2" t="n">
        <v>2</v>
      </c>
      <c r="C40" s="2" t="inlineStr">
        <is>
          <t>47u</t>
        </is>
      </c>
      <c r="D40" s="2" t="inlineStr">
        <is>
          <t>Ø6.3x5.8 SMD (C15: 0402, C29: 1210'dan)</t>
        </is>
      </c>
      <c r="E40" s="2" t="inlineStr">
        <is>
          <t>TBD</t>
        </is>
      </c>
      <c r="F40" s="2" t="inlineStr">
        <is>
          <t>EEHZA1V470P</t>
        </is>
      </c>
      <c r="G40" s="2" t="inlineStr">
        <is>
          <t>PANASONIC</t>
        </is>
      </c>
      <c r="H40" s="2" t="inlineStr">
        <is>
          <t>CAP ALU HYBRID 47uF 35V 6.3x5.8 ESR 60mΩ AEC-Q200</t>
        </is>
      </c>
      <c r="I40" s="2" t="n">
        <v>1098034</v>
      </c>
      <c r="J40" s="2" t="n">
        <v>840</v>
      </c>
      <c r="K40" s="2" t="n">
        <v>1</v>
      </c>
      <c r="L40" s="2" t="n">
        <v>1</v>
      </c>
      <c r="M40" s="2" t="n">
        <v>2</v>
      </c>
      <c r="N40" s="3" t="n">
        <v>28.7669</v>
      </c>
      <c r="O40" s="3" t="n">
        <v>57.53</v>
      </c>
      <c r="P40" s="5" t="inlineStr">
        <is>
          <t>Uygun</t>
        </is>
      </c>
      <c r="Q40" s="2" t="inlineStr">
        <is>
          <t>Yeni seçildi</t>
        </is>
      </c>
      <c r="R40" s="2" t="inlineStr">
        <is>
          <t>21.09 üçüncü tur: Ortak seçim: 47 µF / 35V hibrit polimer, ESR 60 mΩ @100 kHz, 1,3 A ripple. C29 için handoff'taki C_DAMP şartına (47 µF, 35–50V, ESR 50–100 mΩ, seramik değil) birebir uyar. C15 (+3.3V) için gerilim/ripple yeterli; ancak 60 mΩ ESR, AOZ1284 çıkışında ~56 kHz'de ESR sıfırı ekler → R41/C19 kompanzasyonu yeniden kontrol edilmeli. C15 için yalnız seramik istenirse C16 ile aynı parça (CL32A476KOJNNNE) kullanılabilir. Polarite işaretli footprint gerekir.</t>
        </is>
      </c>
      <c r="S40" s="6" t="inlineStr">
        <is>
          <t>https://www.ozdisan.com/p/aluminyum-kapasitorler-180/panasoniceurope-eehza1v470p-1098034</t>
        </is>
      </c>
    </row>
    <row r="41">
      <c r="A41" s="2" t="inlineStr">
        <is>
          <t>C16</t>
        </is>
      </c>
      <c r="B41" s="2" t="n">
        <v>1</v>
      </c>
      <c r="C41" s="2" t="inlineStr">
        <is>
          <t>47u</t>
        </is>
      </c>
      <c r="D41" s="2" t="inlineStr">
        <is>
          <t>1210</t>
        </is>
      </c>
      <c r="E41" s="2" t="inlineStr">
        <is>
          <t>TBD</t>
        </is>
      </c>
      <c r="F41" s="2" t="inlineStr">
        <is>
          <t>CL32A476KOJNNNE</t>
        </is>
      </c>
      <c r="G41" s="2" t="inlineStr">
        <is>
          <t>SAMSUNG</t>
        </is>
      </c>
      <c r="H41" s="2" t="inlineStr">
        <is>
          <t>MLCC 1210 47uF 16V X5R 10%</t>
        </is>
      </c>
      <c r="I41" s="2" t="n">
        <v>423179</v>
      </c>
      <c r="J41" s="2" t="n">
        <v>53829</v>
      </c>
      <c r="K41" s="2" t="n">
        <v>1</v>
      </c>
      <c r="L41" s="2" t="n">
        <v>1</v>
      </c>
      <c r="M41" s="2" t="n">
        <v>1</v>
      </c>
      <c r="N41" s="3" t="n">
        <v>21.0673</v>
      </c>
      <c r="O41" s="3" t="n">
        <v>21.07</v>
      </c>
      <c r="P41" s="5" t="inlineStr">
        <is>
          <t>Uygun</t>
        </is>
      </c>
      <c r="Q41" s="2" t="inlineStr">
        <is>
          <t>Yeni seçildi</t>
        </is>
      </c>
      <c r="R41" s="2" t="inlineStr">
        <is>
          <t>+3.3V; 16V parça DC-bias'ta 6.3V/10V parçalardan daha fazla kapasite korur. X7R şartı varsa GRT32EC81A476ME13L (10V X6S) veya GCM32ER70J476KE19L (6.3V X7R).</t>
        </is>
      </c>
      <c r="S41" s="6" t="inlineStr">
        <is>
          <t>https://www.ozdisan.com/p/smt-smd-ve-mlcc-kapasitorler-184/samsung-cl32a476kojnnne-423179</t>
        </is>
      </c>
    </row>
    <row r="42">
      <c r="A42" s="2" t="inlineStr">
        <is>
          <t>C18</t>
        </is>
      </c>
      <c r="B42" s="2" t="n">
        <v>1</v>
      </c>
      <c r="C42" s="2" t="inlineStr">
        <is>
          <t>10n</t>
        </is>
      </c>
      <c r="D42" s="2" t="inlineStr">
        <is>
          <t>0402</t>
        </is>
      </c>
      <c r="E42" s="2" t="inlineStr">
        <is>
          <t>TBD</t>
        </is>
      </c>
      <c r="F42" s="2" t="inlineStr">
        <is>
          <t>CL05B103KA5NNNC</t>
        </is>
      </c>
      <c r="G42" s="2" t="inlineStr">
        <is>
          <t>SAMSUNG</t>
        </is>
      </c>
      <c r="H42" s="2" t="inlineStr">
        <is>
          <t>MLCC 0402 10nF 25V X7R 10%</t>
        </is>
      </c>
      <c r="I42" s="2" t="n">
        <v>446224</v>
      </c>
      <c r="J42" s="2" t="n">
        <v>43984</v>
      </c>
      <c r="K42" s="2" t="n">
        <v>25</v>
      </c>
      <c r="L42" s="2" t="n">
        <v>25</v>
      </c>
      <c r="M42" s="2" t="n">
        <v>25</v>
      </c>
      <c r="N42" s="3" t="n">
        <v>0.20824</v>
      </c>
      <c r="O42" s="3" t="n">
        <v>5.21</v>
      </c>
      <c r="P42" s="5" t="inlineStr">
        <is>
          <t>Uygun</t>
        </is>
      </c>
      <c r="Q42" s="2" t="inlineStr">
        <is>
          <t>Yeni seçildi</t>
        </is>
      </c>
      <c r="R42" s="2" t="inlineStr"/>
      <c r="S42" s="6" t="inlineStr">
        <is>
          <t>https://www.ozdisan.com/p/smt-smd-ve-mlcc-kapasitorler-184/samsung-cl05b103ka5nnnc-446224</t>
        </is>
      </c>
    </row>
    <row r="43">
      <c r="A43" s="2" t="inlineStr">
        <is>
          <t>C19</t>
        </is>
      </c>
      <c r="B43" s="2" t="n">
        <v>1</v>
      </c>
      <c r="C43" s="2" t="inlineStr">
        <is>
          <t>18n (10n ∥ 8.2n)</t>
        </is>
      </c>
      <c r="D43" s="2" t="inlineStr">
        <is>
          <t>0402 ×2</t>
        </is>
      </c>
      <c r="E43" s="2" t="inlineStr">
        <is>
          <t>TBD</t>
        </is>
      </c>
      <c r="F43" s="2" t="inlineStr">
        <is>
          <t>CL05B103KA5NNNC + CL05B822KB5NNNC</t>
        </is>
      </c>
      <c r="G43" s="2" t="inlineStr">
        <is>
          <t>SAMSUNG</t>
        </is>
      </c>
      <c r="H43" s="2" t="inlineStr">
        <is>
          <t>MLCC 0402 10nF 25V X7R + 8.2nF 50V X7R</t>
        </is>
      </c>
      <c r="I43" s="2" t="inlineStr">
        <is>
          <t>446224 / 521982</t>
        </is>
      </c>
      <c r="J43" s="2" t="n">
        <v>43984</v>
      </c>
      <c r="K43" s="2" t="n"/>
      <c r="L43" s="2" t="n"/>
      <c r="M43" s="2" t="inlineStr">
        <is>
          <t>25 + 20</t>
        </is>
      </c>
      <c r="N43" s="3" t="n"/>
      <c r="O43" s="3" t="n">
        <v>10.33</v>
      </c>
      <c r="P43" s="7" t="inlineStr">
        <is>
          <t>Muadil</t>
        </is>
      </c>
      <c r="Q43" s="2" t="inlineStr">
        <is>
          <t>Yeni seçildi</t>
        </is>
      </c>
      <c r="R43" s="2" t="inlineStr">
        <is>
          <t>21.09 üçüncü tur: 18 nF Özdisan'da hiçbir kılıfta (0402…1206, film dahil) yok; footprint büyütmek çözmüyor. Değeri korumak için 10 nF ∥ 8,2 nF = 18,2 nF (+%1) önerildi; bu, şemaya C19 yanına ikinci bir 0402 footprint eklemeyi gerektirir. Sipariş: 10n ×25 (MOQ) + 8.2n ×20 (MOQ).</t>
        </is>
      </c>
      <c r="S43" s="2" t="n"/>
    </row>
    <row r="44">
      <c r="A44" s="2" t="inlineStr">
        <is>
          <t>C23</t>
        </is>
      </c>
      <c r="B44" s="2" t="n">
        <v>1</v>
      </c>
      <c r="C44" s="2" t="inlineStr">
        <is>
          <t>47n</t>
        </is>
      </c>
      <c r="D44" s="2" t="inlineStr">
        <is>
          <t>0402</t>
        </is>
      </c>
      <c r="E44" s="2" t="inlineStr">
        <is>
          <t>TBD</t>
        </is>
      </c>
      <c r="F44" s="2" t="inlineStr">
        <is>
          <t>CL05B473KO5NNNC</t>
        </is>
      </c>
      <c r="G44" s="2" t="inlineStr">
        <is>
          <t>SAMSUNG</t>
        </is>
      </c>
      <c r="H44" s="2" t="inlineStr">
        <is>
          <t>MLCC 0402 47nF 16V X7R 10%</t>
        </is>
      </c>
      <c r="I44" s="2" t="n">
        <v>443226</v>
      </c>
      <c r="J44" s="2" t="n">
        <v>48227</v>
      </c>
      <c r="K44" s="2" t="n">
        <v>20</v>
      </c>
      <c r="L44" s="2" t="n">
        <v>20</v>
      </c>
      <c r="M44" s="2" t="n">
        <v>20</v>
      </c>
      <c r="N44" s="3" t="n">
        <v>0.28417</v>
      </c>
      <c r="O44" s="3" t="n">
        <v>5.68</v>
      </c>
      <c r="P44" s="5" t="inlineStr">
        <is>
          <t>Uygun</t>
        </is>
      </c>
      <c r="Q44" s="2" t="inlineStr">
        <is>
          <t>Yeni seçildi</t>
        </is>
      </c>
      <c r="R44" s="2" t="inlineStr"/>
      <c r="S44" s="6" t="inlineStr">
        <is>
          <t>https://www.ozdisan.com/p/smt-smd-ve-mlcc-kapasitorler-184/samsung-cl05b473ko5nnnc-443226</t>
        </is>
      </c>
    </row>
    <row r="45">
      <c r="A45" s="2" t="inlineStr">
        <is>
          <t>C30</t>
        </is>
      </c>
      <c r="B45" s="2" t="n">
        <v>1</v>
      </c>
      <c r="C45" s="2" t="inlineStr">
        <is>
          <t>22n</t>
        </is>
      </c>
      <c r="D45" s="2" t="inlineStr">
        <is>
          <t>0402</t>
        </is>
      </c>
      <c r="E45" s="2" t="inlineStr">
        <is>
          <t>TBD</t>
        </is>
      </c>
      <c r="F45" s="2" t="inlineStr">
        <is>
          <t>CC0402KRX7R9BB223</t>
        </is>
      </c>
      <c r="G45" s="2" t="inlineStr">
        <is>
          <t>YAGEO</t>
        </is>
      </c>
      <c r="H45" s="2" t="inlineStr">
        <is>
          <t>MLCC 0402 22nF 50V X7R 10%</t>
        </is>
      </c>
      <c r="I45" s="2" t="n">
        <v>746989</v>
      </c>
      <c r="J45" s="2" t="n">
        <v>413880</v>
      </c>
      <c r="K45" s="2" t="n">
        <v>20</v>
      </c>
      <c r="L45" s="2" t="n">
        <v>20</v>
      </c>
      <c r="M45" s="2" t="n">
        <v>20</v>
      </c>
      <c r="N45" s="3" t="n">
        <v>0.32872</v>
      </c>
      <c r="O45" s="3" t="n">
        <v>6.57</v>
      </c>
      <c r="P45" s="5" t="inlineStr">
        <is>
          <t>Uygun</t>
        </is>
      </c>
      <c r="Q45" s="2" t="inlineStr">
        <is>
          <t>Yeni seçildi</t>
        </is>
      </c>
      <c r="R45" s="2" t="inlineStr"/>
      <c r="S45" s="6" t="inlineStr">
        <is>
          <t>https://www.ozdisan.com/p/smt-smd-ve-mlcc-kapasitorler-184/yageo-cc0402krx7r9bb223-746989</t>
        </is>
      </c>
    </row>
    <row r="46">
      <c r="A46" s="2" t="inlineStr">
        <is>
          <t>C31</t>
        </is>
      </c>
      <c r="B46" s="2" t="n">
        <v>1</v>
      </c>
      <c r="C46" s="2" t="inlineStr">
        <is>
          <t>220n</t>
        </is>
      </c>
      <c r="D46" s="2" t="inlineStr">
        <is>
          <t>0603 (0402'den büyütüldü)</t>
        </is>
      </c>
      <c r="E46" s="2" t="inlineStr">
        <is>
          <t>TBD</t>
        </is>
      </c>
      <c r="F46" s="2" t="inlineStr">
        <is>
          <t>CL10B224KA8NNNC</t>
        </is>
      </c>
      <c r="G46" s="2" t="inlineStr">
        <is>
          <t>SAMSUNG</t>
        </is>
      </c>
      <c r="H46" s="2" t="inlineStr">
        <is>
          <t>MLCC 0603 220nF 25V X7R 10%</t>
        </is>
      </c>
      <c r="I46" s="2" t="n">
        <v>15507</v>
      </c>
      <c r="J46" s="2" t="n">
        <v>664332</v>
      </c>
      <c r="K46" s="2" t="n">
        <v>10</v>
      </c>
      <c r="L46" s="2" t="n">
        <v>10</v>
      </c>
      <c r="M46" s="2" t="n">
        <v>10</v>
      </c>
      <c r="N46" s="3" t="n">
        <v>0.57267</v>
      </c>
      <c r="O46" s="3" t="n">
        <v>5.73</v>
      </c>
      <c r="P46" s="5" t="inlineStr">
        <is>
          <t>Uygun</t>
        </is>
      </c>
      <c r="Q46" s="2" t="inlineStr">
        <is>
          <t>Yeni seçildi</t>
        </is>
      </c>
      <c r="R46" s="2" t="inlineStr">
        <is>
          <t>21.09 üçüncü tur: Gerilim kontrolü (AP74502Q datasheet DS47093): kondansatör VCAP–VIN arasında; VCAP−VSRC şarj pompası en fazla 13,9V, VCAP–VIN mutlak maksimum 15V. 25V parça ~1,7x pay verir. 0402'de 220 nF en fazla 10V → 0603'e çıkıldı. 14V'ta DC-bias ile ~150 nF kalır, datasheet minimumu 0,1 µF.</t>
        </is>
      </c>
      <c r="S46" s="6" t="inlineStr">
        <is>
          <t>https://www.ozdisan.com/p/smt-smd-ve-mlcc-kapasitorler-184/samsung-cl10b224ka8nnnc-15507</t>
        </is>
      </c>
    </row>
    <row r="47">
      <c r="A47" s="2" t="inlineStr">
        <is>
          <t>R1,R10,R27,R34,R35,R36,R37,R56,R57</t>
        </is>
      </c>
      <c r="B47" s="2" t="n">
        <v>9</v>
      </c>
      <c r="C47" s="2" t="inlineStr">
        <is>
          <t>10k</t>
        </is>
      </c>
      <c r="D47" s="2" t="inlineStr">
        <is>
          <t>0402</t>
        </is>
      </c>
      <c r="E47" s="2" t="inlineStr">
        <is>
          <t>TBD</t>
        </is>
      </c>
      <c r="F47" s="2" t="inlineStr">
        <is>
          <t>TC0250B1002TCC</t>
        </is>
      </c>
      <c r="G47" s="2" t="inlineStr">
        <is>
          <t>ROYALOHM</t>
        </is>
      </c>
      <c r="H47" s="2" t="inlineStr">
        <is>
          <t>RES 0402 10K 0.1% 1/16W 50PPM</t>
        </is>
      </c>
      <c r="I47" s="2" t="n">
        <v>569744</v>
      </c>
      <c r="J47" s="2" t="n">
        <v>4220</v>
      </c>
      <c r="K47" s="2" t="n">
        <v>5</v>
      </c>
      <c r="L47" s="2" t="n">
        <v>5</v>
      </c>
      <c r="M47" s="2" t="n">
        <v>10</v>
      </c>
      <c r="N47" s="3" t="n">
        <v>1.42196</v>
      </c>
      <c r="O47" s="3" t="n">
        <v>14.22</v>
      </c>
      <c r="P47" s="5" t="inlineStr">
        <is>
          <t>Uygun</t>
        </is>
      </c>
      <c r="Q47" s="2" t="inlineStr">
        <is>
          <t>Yeni seçildi</t>
        </is>
      </c>
      <c r="R47" s="2" t="inlineStr">
        <is>
          <t>Özdisan'da 0402 10k yalnız 2 çeşit (%0,1 ince film). R39 bu gruptan çıkarıldı (10,2k).</t>
        </is>
      </c>
      <c r="S47" s="6" t="inlineStr">
        <is>
          <t>https://www.ozdisan.com/p/smt-smd-ve-cip-direncler-194/royalohm-tc0250b1002tcc-569744</t>
        </is>
      </c>
    </row>
    <row r="48">
      <c r="A48" s="2" t="inlineStr">
        <is>
          <t>R59</t>
        </is>
      </c>
      <c r="B48" s="2" t="n">
        <v>1</v>
      </c>
      <c r="C48" s="2" t="inlineStr">
        <is>
          <t>10k</t>
        </is>
      </c>
      <c r="D48" s="2" t="inlineStr">
        <is>
          <t>0805 (0402'den büyütüldü)</t>
        </is>
      </c>
      <c r="E48" s="2" t="inlineStr">
        <is>
          <t>TBD</t>
        </is>
      </c>
      <c r="F48" s="2" t="inlineStr">
        <is>
          <t>HP05W3F1002T5E</t>
        </is>
      </c>
      <c r="G48" s="2" t="inlineStr">
        <is>
          <t>ROYALOHM</t>
        </is>
      </c>
      <c r="H48" s="2" t="inlineStr">
        <is>
          <t>RES 0805 10K 1% 1/3W high power AEC-Q200</t>
        </is>
      </c>
      <c r="I48" s="2" t="n">
        <v>604238</v>
      </c>
      <c r="J48" s="2" t="n">
        <v>710</v>
      </c>
      <c r="K48" s="2" t="n">
        <v>20</v>
      </c>
      <c r="L48" s="2" t="n">
        <v>20</v>
      </c>
      <c r="M48" s="2" t="n">
        <v>20</v>
      </c>
      <c r="N48" s="3" t="n">
        <v>0.30097</v>
      </c>
      <c r="O48" s="3" t="n">
        <v>6.02</v>
      </c>
      <c r="P48" s="5" t="inlineStr">
        <is>
          <t>Uygun</t>
        </is>
      </c>
      <c r="Q48" s="2" t="inlineStr">
        <is>
          <t>Yeni seçildi</t>
        </is>
      </c>
      <c r="R48" s="2" t="inlineStr">
        <is>
          <t>21.09 üçüncü tur: Watt kontrolü: R59 OUT_POS–GND bleed. Sürekli en kötü durum OVLO eşiği ~30V → P = 30²/10k = 90 mW (28V'ta 78 mW). %50 azaltma ile ≥0,18 W; handoff ≥0,25 W istiyor. 1/3 W 0805 ikisini de karşılar, çalışma gerilimi 150V (SMBJ30A kenetleme 48V geçişlerine de pay). Footprint 0402 → 0805. Footprint korunacaksa ERJPA2J103X (0402, 1/5 W) ≥0,18 W'ı karşılar ama stok yalnız 18.</t>
        </is>
      </c>
      <c r="S48" s="6" t="inlineStr">
        <is>
          <t>https://www.ozdisan.com/p/smt-smd-ve-cip-direncler-194/royalohm-hp05w3f1002t5e-604238</t>
        </is>
      </c>
    </row>
    <row r="49">
      <c r="A49" s="2" t="inlineStr">
        <is>
          <t>R2,R3,R15,R16</t>
        </is>
      </c>
      <c r="B49" s="2" t="n">
        <v>4</v>
      </c>
      <c r="C49" s="2" t="inlineStr">
        <is>
          <t>22R</t>
        </is>
      </c>
      <c r="D49" s="2" t="inlineStr">
        <is>
          <t>0402</t>
        </is>
      </c>
      <c r="E49" s="2" t="inlineStr">
        <is>
          <t>TBD</t>
        </is>
      </c>
      <c r="F49" s="2" t="inlineStr">
        <is>
          <t>RC0402FR-0722RP</t>
        </is>
      </c>
      <c r="G49" s="2" t="inlineStr">
        <is>
          <t>YAGEO</t>
        </is>
      </c>
      <c r="H49" s="2" t="inlineStr">
        <is>
          <t>RES 0402 22R 1% 1/16W</t>
        </is>
      </c>
      <c r="I49" s="2" t="n">
        <v>839397</v>
      </c>
      <c r="J49" s="2" t="n">
        <v>4562</v>
      </c>
      <c r="K49" s="2" t="n">
        <v>25</v>
      </c>
      <c r="L49" s="2" t="n">
        <v>25</v>
      </c>
      <c r="M49" s="2" t="n">
        <v>25</v>
      </c>
      <c r="N49" s="3" t="n">
        <v>0.24667</v>
      </c>
      <c r="O49" s="3" t="n">
        <v>6.17</v>
      </c>
      <c r="P49" s="5" t="inlineStr">
        <is>
          <t>Uygun</t>
        </is>
      </c>
      <c r="Q49" s="2" t="inlineStr">
        <is>
          <t>Yeni seçildi</t>
        </is>
      </c>
      <c r="R49" s="2" t="inlineStr"/>
      <c r="S49" s="6" t="inlineStr">
        <is>
          <t>https://www.ozdisan.com/p/smt-smd-ve-cip-direncler-194/yageo-rc0402fr-0722rp-839397</t>
        </is>
      </c>
    </row>
    <row r="50">
      <c r="A50" s="2" t="inlineStr">
        <is>
          <t>R4,R5,R6,R7,R24,R25,R26</t>
        </is>
      </c>
      <c r="B50" s="2" t="n">
        <v>7</v>
      </c>
      <c r="C50" s="2" t="inlineStr">
        <is>
          <t>4k7</t>
        </is>
      </c>
      <c r="D50" s="2" t="inlineStr">
        <is>
          <t>0402</t>
        </is>
      </c>
      <c r="E50" s="2" t="inlineStr">
        <is>
          <t>TBD</t>
        </is>
      </c>
      <c r="F50" s="2" t="inlineStr">
        <is>
          <t>HP02WAF4701TCE</t>
        </is>
      </c>
      <c r="G50" s="2" t="inlineStr">
        <is>
          <t>ROYALOHM</t>
        </is>
      </c>
      <c r="H50" s="2" t="inlineStr">
        <is>
          <t>RES 0402 4.7K 1% 1/10W</t>
        </is>
      </c>
      <c r="I50" s="2" t="n">
        <v>603918</v>
      </c>
      <c r="J50" s="2" t="n">
        <v>9400</v>
      </c>
      <c r="K50" s="2" t="n">
        <v>100</v>
      </c>
      <c r="L50" s="2" t="n">
        <v>100</v>
      </c>
      <c r="M50" s="2" t="n">
        <v>100</v>
      </c>
      <c r="N50" s="3" t="n">
        <v>0.08892</v>
      </c>
      <c r="O50" s="3" t="n">
        <v>8.890000000000001</v>
      </c>
      <c r="P50" s="5" t="inlineStr">
        <is>
          <t>Uygun</t>
        </is>
      </c>
      <c r="Q50" s="2" t="inlineStr">
        <is>
          <t>Yeni seçildi</t>
        </is>
      </c>
      <c r="R50" s="2" t="inlineStr"/>
      <c r="S50" s="6" t="inlineStr">
        <is>
          <t>https://www.ozdisan.com/p/smt-smd-ve-cip-direncler-194/royalohm-hp02waf4701tce-603918</t>
        </is>
      </c>
    </row>
    <row r="51">
      <c r="A51" s="2" t="inlineStr">
        <is>
          <t>R8</t>
        </is>
      </c>
      <c r="B51" s="2" t="n">
        <v>1</v>
      </c>
      <c r="C51" s="2" t="inlineStr">
        <is>
          <t>12k</t>
        </is>
      </c>
      <c r="D51" s="2" t="inlineStr">
        <is>
          <t>0402</t>
        </is>
      </c>
      <c r="E51" s="2" t="inlineStr">
        <is>
          <t>TBD</t>
        </is>
      </c>
      <c r="F51" s="2" t="inlineStr">
        <is>
          <t>CRCW040212K0FKED</t>
        </is>
      </c>
      <c r="G51" s="2" t="inlineStr">
        <is>
          <t>VISHAY</t>
        </is>
      </c>
      <c r="H51" s="2" t="inlineStr">
        <is>
          <t>RES 0402 12K 1% 1/16W</t>
        </is>
      </c>
      <c r="I51" s="2" t="n">
        <v>519356</v>
      </c>
      <c r="J51" s="2" t="n">
        <v>6761</v>
      </c>
      <c r="K51" s="2" t="n">
        <v>10</v>
      </c>
      <c r="L51" s="2" t="n">
        <v>10</v>
      </c>
      <c r="M51" s="2" t="n">
        <v>10</v>
      </c>
      <c r="N51" s="3" t="n">
        <v>0.56646</v>
      </c>
      <c r="O51" s="3" t="n">
        <v>5.66</v>
      </c>
      <c r="P51" s="5" t="inlineStr">
        <is>
          <t>Uygun</t>
        </is>
      </c>
      <c r="Q51" s="2" t="inlineStr">
        <is>
          <t>Yeni seçildi</t>
        </is>
      </c>
      <c r="R51" s="2" t="inlineStr"/>
      <c r="S51" s="6" t="inlineStr">
        <is>
          <t>https://www.ozdisan.com/p/smt-smd-ve-cip-direncler-194/vishay-crcw040212k0fked-519356</t>
        </is>
      </c>
    </row>
    <row r="52">
      <c r="A52" s="2" t="inlineStr">
        <is>
          <t>R9</t>
        </is>
      </c>
      <c r="B52" s="2" t="n">
        <v>1</v>
      </c>
      <c r="C52" s="2" t="inlineStr">
        <is>
          <t>20k</t>
        </is>
      </c>
      <c r="D52" s="2" t="inlineStr">
        <is>
          <t>0402</t>
        </is>
      </c>
      <c r="E52" s="2" t="inlineStr">
        <is>
          <t>TBD</t>
        </is>
      </c>
      <c r="F52" s="2" t="inlineStr">
        <is>
          <t>TC0250B2002TCC</t>
        </is>
      </c>
      <c r="G52" s="2" t="inlineStr">
        <is>
          <t>ROYALOHM</t>
        </is>
      </c>
      <c r="H52" s="2" t="inlineStr">
        <is>
          <t>RES 0402 20K 0.1% 1/16W</t>
        </is>
      </c>
      <c r="I52" s="2" t="n">
        <v>570296</v>
      </c>
      <c r="J52" s="2" t="n">
        <v>3225</v>
      </c>
      <c r="K52" s="2" t="n">
        <v>5</v>
      </c>
      <c r="L52" s="2" t="n">
        <v>5</v>
      </c>
      <c r="M52" s="2" t="n">
        <v>5</v>
      </c>
      <c r="N52" s="3" t="n">
        <v>1.42196</v>
      </c>
      <c r="O52" s="3" t="n">
        <v>7.11</v>
      </c>
      <c r="P52" s="5" t="inlineStr">
        <is>
          <t>Uygun</t>
        </is>
      </c>
      <c r="Q52" s="2" t="inlineStr">
        <is>
          <t>Yeni seçildi</t>
        </is>
      </c>
      <c r="R52" s="2" t="inlineStr">
        <is>
          <t>0402 20k %1 stokta yok; %0,1 seçildi (%5 alternatif RC0402JR-0720KL).</t>
        </is>
      </c>
      <c r="S52" s="6" t="inlineStr">
        <is>
          <t>https://www.ozdisan.com/p/smt-smd-ve-cip-direncler-194/royalohm-tc0250b2002tcc-570296</t>
        </is>
      </c>
    </row>
    <row r="53">
      <c r="A53" s="2" t="inlineStr">
        <is>
          <t>R12</t>
        </is>
      </c>
      <c r="B53" s="2" t="n">
        <v>1</v>
      </c>
      <c r="C53" s="2" t="inlineStr">
        <is>
          <t>6k2</t>
        </is>
      </c>
      <c r="D53" s="2" t="inlineStr">
        <is>
          <t>0402</t>
        </is>
      </c>
      <c r="E53" s="2" t="inlineStr">
        <is>
          <t>TBD</t>
        </is>
      </c>
      <c r="F53" s="2" t="inlineStr">
        <is>
          <t>0402WGF6201TCE</t>
        </is>
      </c>
      <c r="G53" s="2" t="inlineStr">
        <is>
          <t>ROYALOHM</t>
        </is>
      </c>
      <c r="H53" s="2" t="inlineStr">
        <is>
          <t>RES 0402 6.2K 1% 1/16W</t>
        </is>
      </c>
      <c r="I53" s="2" t="n">
        <v>359873</v>
      </c>
      <c r="J53" s="2" t="n">
        <v>19300</v>
      </c>
      <c r="K53" s="2" t="n">
        <v>200</v>
      </c>
      <c r="L53" s="2" t="n">
        <v>200</v>
      </c>
      <c r="M53" s="2" t="n">
        <v>200</v>
      </c>
      <c r="N53" s="3" t="n">
        <v>0.02873</v>
      </c>
      <c r="O53" s="3" t="n">
        <v>5.75</v>
      </c>
      <c r="P53" s="5" t="inlineStr">
        <is>
          <t>Uygun</t>
        </is>
      </c>
      <c r="Q53" s="2" t="inlineStr">
        <is>
          <t>Yeni seçildi</t>
        </is>
      </c>
      <c r="R53" s="2" t="inlineStr"/>
      <c r="S53" s="6" t="inlineStr">
        <is>
          <t>https://www.ozdisan.com/p/smt-smd-ve-cip-direncler-194/royalohm-0402wgf6201tce-359873</t>
        </is>
      </c>
    </row>
    <row r="54">
      <c r="A54" s="2" t="inlineStr">
        <is>
          <t>R13,R28</t>
        </is>
      </c>
      <c r="B54" s="2" t="n">
        <v>2</v>
      </c>
      <c r="C54" s="2" t="inlineStr">
        <is>
          <t>100R</t>
        </is>
      </c>
      <c r="D54" s="2" t="inlineStr">
        <is>
          <t>0402</t>
        </is>
      </c>
      <c r="E54" s="2" t="inlineStr">
        <is>
          <t>TBD</t>
        </is>
      </c>
      <c r="F54" s="2" t="inlineStr">
        <is>
          <t>TC0250B1000TCC</t>
        </is>
      </c>
      <c r="G54" s="2" t="inlineStr">
        <is>
          <t>ROYALOHM</t>
        </is>
      </c>
      <c r="H54" s="2" t="inlineStr">
        <is>
          <t>RES 0402 100R 0.1% 1/16W</t>
        </is>
      </c>
      <c r="I54" s="2" t="n">
        <v>569711</v>
      </c>
      <c r="J54" s="2" t="n">
        <v>7445</v>
      </c>
      <c r="K54" s="2" t="n">
        <v>5</v>
      </c>
      <c r="L54" s="2" t="n">
        <v>5</v>
      </c>
      <c r="M54" s="2" t="n">
        <v>5</v>
      </c>
      <c r="N54" s="3" t="n">
        <v>1.42196</v>
      </c>
      <c r="O54" s="3" t="n">
        <v>7.11</v>
      </c>
      <c r="P54" s="5" t="inlineStr">
        <is>
          <t>Uygun</t>
        </is>
      </c>
      <c r="Q54" s="2" t="inlineStr">
        <is>
          <t>Yeni seçildi</t>
        </is>
      </c>
      <c r="R54" s="2" t="inlineStr"/>
      <c r="S54" s="6" t="inlineStr">
        <is>
          <t>https://www.ozdisan.com/p/smt-smd-ve-cip-direncler-194/royalohm-tc0250b1000tcc-569711</t>
        </is>
      </c>
    </row>
    <row r="55">
      <c r="A55" s="2" t="inlineStr">
        <is>
          <t>R14</t>
        </is>
      </c>
      <c r="B55" s="2" t="n">
        <v>1</v>
      </c>
      <c r="C55" s="2" t="inlineStr">
        <is>
          <t>2k2</t>
        </is>
      </c>
      <c r="D55" s="2" t="inlineStr">
        <is>
          <t>0402</t>
        </is>
      </c>
      <c r="E55" s="2" t="inlineStr">
        <is>
          <t>TBD</t>
        </is>
      </c>
      <c r="F55" s="2" t="inlineStr">
        <is>
          <t>ERJ2RKF2201X</t>
        </is>
      </c>
      <c r="G55" s="2" t="inlineStr">
        <is>
          <t>PANASONIC</t>
        </is>
      </c>
      <c r="H55" s="2" t="inlineStr">
        <is>
          <t>RES 0402 2.2K 1% 1/10W</t>
        </is>
      </c>
      <c r="I55" s="2" t="n">
        <v>494655</v>
      </c>
      <c r="J55" s="2" t="n">
        <v>67988</v>
      </c>
      <c r="K55" s="2" t="n">
        <v>20</v>
      </c>
      <c r="L55" s="2" t="n">
        <v>20</v>
      </c>
      <c r="M55" s="2" t="n">
        <v>20</v>
      </c>
      <c r="N55" s="3" t="n">
        <v>0.3664</v>
      </c>
      <c r="O55" s="3" t="n">
        <v>7.33</v>
      </c>
      <c r="P55" s="5" t="inlineStr">
        <is>
          <t>Uygun</t>
        </is>
      </c>
      <c r="Q55" s="2" t="inlineStr">
        <is>
          <t>Yeni seçildi</t>
        </is>
      </c>
      <c r="R55" s="2" t="inlineStr"/>
      <c r="S55" s="6" t="inlineStr">
        <is>
          <t>https://www.ozdisan.com/p/smt-smd-ve-cip-direncler-194/panasoniceurope-erj2rkf2201x-494655</t>
        </is>
      </c>
    </row>
    <row r="56">
      <c r="A56" s="2" t="inlineStr">
        <is>
          <t>R29,R38,R42,R53,R58</t>
        </is>
      </c>
      <c r="B56" s="2" t="n">
        <v>5</v>
      </c>
      <c r="C56" s="2" t="inlineStr">
        <is>
          <t>100k</t>
        </is>
      </c>
      <c r="D56" s="2" t="inlineStr">
        <is>
          <t>0402</t>
        </is>
      </c>
      <c r="E56" s="2" t="inlineStr">
        <is>
          <t>TBD</t>
        </is>
      </c>
      <c r="F56" s="2" t="inlineStr">
        <is>
          <t>CQ02WGF1003TCE</t>
        </is>
      </c>
      <c r="G56" s="2" t="inlineStr">
        <is>
          <t>ROYALOHM</t>
        </is>
      </c>
      <c r="H56" s="2" t="inlineStr">
        <is>
          <t>RES 0402 100K 1% 1/16W AEC-Q200</t>
        </is>
      </c>
      <c r="I56" s="2" t="n">
        <v>587906</v>
      </c>
      <c r="J56" s="2" t="n">
        <v>99900</v>
      </c>
      <c r="K56" s="2" t="n">
        <v>200</v>
      </c>
      <c r="L56" s="2" t="n">
        <v>200</v>
      </c>
      <c r="M56" s="2" t="n">
        <v>200</v>
      </c>
      <c r="N56" s="3" t="n">
        <v>0.04378</v>
      </c>
      <c r="O56" s="3" t="n">
        <v>8.76</v>
      </c>
      <c r="P56" s="5" t="inlineStr">
        <is>
          <t>Uygun</t>
        </is>
      </c>
      <c r="Q56" s="2" t="inlineStr">
        <is>
          <t>Yeni seçildi</t>
        </is>
      </c>
      <c r="R56" s="2" t="inlineStr"/>
      <c r="S56" s="6" t="inlineStr">
        <is>
          <t>https://www.ozdisan.com/p/smt-smd-ve-cip-direncler-194/royalohm-cq02wgf1003tce-587906</t>
        </is>
      </c>
    </row>
    <row r="57">
      <c r="A57" s="2" t="inlineStr">
        <is>
          <t>R21 (DNP)</t>
        </is>
      </c>
      <c r="B57" s="2" t="n">
        <v>0</v>
      </c>
      <c r="C57" s="2" t="inlineStr">
        <is>
          <t>100k</t>
        </is>
      </c>
      <c r="D57" s="2" t="inlineStr">
        <is>
          <t>0402</t>
        </is>
      </c>
      <c r="E57" s="2" t="inlineStr">
        <is>
          <t>TBD</t>
        </is>
      </c>
      <c r="F57" s="2" t="inlineStr">
        <is>
          <t>CQ02WGF1003TCE</t>
        </is>
      </c>
      <c r="G57" s="2" t="inlineStr">
        <is>
          <t>ROYALOHM</t>
        </is>
      </c>
      <c r="H57" s="2" t="inlineStr">
        <is>
          <t>RES 0402 100K 1% 1/16W AEC-Q200</t>
        </is>
      </c>
      <c r="I57" s="2" t="n">
        <v>587906</v>
      </c>
      <c r="J57" s="2" t="n">
        <v>99900</v>
      </c>
      <c r="K57" s="2" t="n"/>
      <c r="L57" s="2" t="n"/>
      <c r="M57" s="2" t="n"/>
      <c r="N57" s="3" t="n">
        <v>0.04378</v>
      </c>
      <c r="O57" s="3" t="n"/>
      <c r="P57" s="10" t="inlineStr">
        <is>
          <t>Satın alınmaz</t>
        </is>
      </c>
      <c r="Q57" s="2" t="inlineStr">
        <is>
          <t>Yeni seçildi</t>
        </is>
      </c>
      <c r="R57" s="2" t="inlineStr">
        <is>
          <t>DNP; dizilmez.</t>
        </is>
      </c>
      <c r="S57" s="6" t="inlineStr">
        <is>
          <t>https://www.ozdisan.com/p/smt-smd-ve-cip-direncler-194/royalohm-cq02wgf1003tce-587906</t>
        </is>
      </c>
    </row>
    <row r="58">
      <c r="A58" s="2" t="inlineStr">
        <is>
          <t>R51,R54</t>
        </is>
      </c>
      <c r="B58" s="2" t="n">
        <v>2</v>
      </c>
      <c r="C58" s="2" t="inlineStr">
        <is>
          <t>1k0</t>
        </is>
      </c>
      <c r="D58" s="2" t="inlineStr">
        <is>
          <t>0402</t>
        </is>
      </c>
      <c r="E58" s="2" t="inlineStr">
        <is>
          <t>TBD</t>
        </is>
      </c>
      <c r="F58" s="2" t="inlineStr">
        <is>
          <t>RT0402BRD071KL</t>
        </is>
      </c>
      <c r="G58" s="2" t="inlineStr">
        <is>
          <t>YAGEO</t>
        </is>
      </c>
      <c r="H58" s="2" t="inlineStr">
        <is>
          <t>RES 0402 1K 0.1% 1/16W 25PPM</t>
        </is>
      </c>
      <c r="I58" s="2" t="n">
        <v>1212342</v>
      </c>
      <c r="J58" s="2" t="n">
        <v>37995</v>
      </c>
      <c r="K58" s="2" t="n">
        <v>5</v>
      </c>
      <c r="L58" s="2" t="n">
        <v>5</v>
      </c>
      <c r="M58" s="2" t="n">
        <v>5</v>
      </c>
      <c r="N58" s="3" t="n">
        <v>2.54552</v>
      </c>
      <c r="O58" s="3" t="n">
        <v>12.73</v>
      </c>
      <c r="P58" s="5" t="inlineStr">
        <is>
          <t>Uygun</t>
        </is>
      </c>
      <c r="Q58" s="2" t="inlineStr">
        <is>
          <t>Yeni seçildi</t>
        </is>
      </c>
      <c r="R58" s="2" t="inlineStr">
        <is>
          <t>0402 1k %1 stokta yok; %0,1 ince film seçildi.</t>
        </is>
      </c>
      <c r="S58" s="6" t="inlineStr">
        <is>
          <t>https://www.ozdisan.com/p/smt-smd-ve-cip-direncler-194/yageo-rt0402brd071kl-1212342</t>
        </is>
      </c>
    </row>
    <row r="59">
      <c r="A59" s="2" t="inlineStr">
        <is>
          <t>R43</t>
        </is>
      </c>
      <c r="B59" s="2" t="n">
        <v>1</v>
      </c>
      <c r="C59" s="2" t="inlineStr">
        <is>
          <t>1k0</t>
        </is>
      </c>
      <c r="D59" s="2" t="inlineStr">
        <is>
          <t>2512</t>
        </is>
      </c>
      <c r="E59" s="2" t="inlineStr">
        <is>
          <t>TBD</t>
        </is>
      </c>
      <c r="F59" s="2" t="inlineStr">
        <is>
          <t>PS122WF1001T4E</t>
        </is>
      </c>
      <c r="G59" s="2" t="inlineStr">
        <is>
          <t>ROYALOHM</t>
        </is>
      </c>
      <c r="H59" s="2" t="inlineStr">
        <is>
          <t>RES 2512 1K 1% 2W anti-surge</t>
        </is>
      </c>
      <c r="I59" s="2" t="n">
        <v>746122</v>
      </c>
      <c r="J59" s="2" t="n">
        <v>93571</v>
      </c>
      <c r="K59" s="2" t="n">
        <v>1</v>
      </c>
      <c r="L59" s="2" t="n">
        <v>1</v>
      </c>
      <c r="M59" s="2" t="n">
        <v>1</v>
      </c>
      <c r="N59" s="3" t="n">
        <v>5.15035</v>
      </c>
      <c r="O59" s="3" t="n">
        <v>5.15</v>
      </c>
      <c r="P59" s="5" t="inlineStr">
        <is>
          <t>Uygun</t>
        </is>
      </c>
      <c r="Q59" s="2" t="inlineStr">
        <is>
          <t>Yeni seçildi</t>
        </is>
      </c>
      <c r="R59" s="2" t="inlineStr">
        <is>
          <t>2W şartı (28V'ta 0.651W).</t>
        </is>
      </c>
      <c r="S59" s="6" t="inlineStr">
        <is>
          <t>https://www.ozdisan.com/p/smt-smd-ve-cip-direncler-194/royalohm-ps122wf1001t4e-746122</t>
        </is>
      </c>
    </row>
    <row r="60">
      <c r="A60" s="2" t="inlineStr">
        <is>
          <t>R39</t>
        </is>
      </c>
      <c r="B60" s="2" t="n">
        <v>1</v>
      </c>
      <c r="C60" s="2" t="inlineStr">
        <is>
          <t>10k2 (10k yerine)</t>
        </is>
      </c>
      <c r="D60" s="2" t="inlineStr">
        <is>
          <t>0402</t>
        </is>
      </c>
      <c r="E60" s="2" t="inlineStr">
        <is>
          <t>TBD</t>
        </is>
      </c>
      <c r="F60" s="2" t="inlineStr">
        <is>
          <t>RC1005F1022CS</t>
        </is>
      </c>
      <c r="G60" s="2" t="inlineStr">
        <is>
          <t>SAMSUNG</t>
        </is>
      </c>
      <c r="H60" s="2" t="inlineStr">
        <is>
          <t>RES 0402 10.2K 1% 1/16W</t>
        </is>
      </c>
      <c r="I60" s="2" t="n">
        <v>695131</v>
      </c>
      <c r="J60" s="2" t="n">
        <v>5865</v>
      </c>
      <c r="K60" s="2" t="n">
        <v>20</v>
      </c>
      <c r="L60" s="2" t="n">
        <v>20</v>
      </c>
      <c r="M60" s="2" t="n">
        <v>20</v>
      </c>
      <c r="N60" s="3" t="n">
        <v>0.36274</v>
      </c>
      <c r="O60" s="3" t="n">
        <v>7.25</v>
      </c>
      <c r="P60" s="7" t="inlineStr">
        <is>
          <t>Muadil</t>
        </is>
      </c>
      <c r="Q60" s="2" t="inlineStr">
        <is>
          <t>Yeni seçildi</t>
        </is>
      </c>
      <c r="R60" s="2" t="inlineStr">
        <is>
          <t>21.09 üçüncü tur: R40 3,24k ile birlikte AOZ1284 çıkışını 3,3185V'ta tutmak için 10k → 10,2k (bkz. R40).</t>
        </is>
      </c>
      <c r="S60" s="6" t="inlineStr">
        <is>
          <t>https://www.ozdisan.com/p/smt-smd-ve-cip-direncler-194/samsung-rc1005f1022cs-695131</t>
        </is>
      </c>
    </row>
    <row r="61">
      <c r="A61" s="2" t="inlineStr">
        <is>
          <t>R40</t>
        </is>
      </c>
      <c r="B61" s="2" t="n">
        <v>1</v>
      </c>
      <c r="C61" s="2" t="inlineStr">
        <is>
          <t>3k24 (3k20 yerine)</t>
        </is>
      </c>
      <c r="D61" s="2" t="inlineStr">
        <is>
          <t>0402</t>
        </is>
      </c>
      <c r="E61" s="2" t="inlineStr">
        <is>
          <t>TBD</t>
        </is>
      </c>
      <c r="F61" s="2" t="inlineStr">
        <is>
          <t>ERJ2RKF3241X</t>
        </is>
      </c>
      <c r="G61" s="2" t="inlineStr">
        <is>
          <t>PANASONIC</t>
        </is>
      </c>
      <c r="H61" s="2" t="inlineStr">
        <is>
          <t>RES 0402 3.24K 1% 1/10W</t>
        </is>
      </c>
      <c r="I61" s="2" t="n">
        <v>494659</v>
      </c>
      <c r="J61" s="2" t="n">
        <v>76745</v>
      </c>
      <c r="K61" s="2" t="n">
        <v>20</v>
      </c>
      <c r="L61" s="2" t="n">
        <v>20</v>
      </c>
      <c r="M61" s="2" t="n">
        <v>20</v>
      </c>
      <c r="N61" s="3" t="n">
        <v>0.3664</v>
      </c>
      <c r="O61" s="3" t="n">
        <v>7.33</v>
      </c>
      <c r="P61" s="7" t="inlineStr">
        <is>
          <t>Muadil</t>
        </is>
      </c>
      <c r="Q61" s="2" t="inlineStr">
        <is>
          <t>Yeni seçildi</t>
        </is>
      </c>
      <c r="R61" s="2" t="inlineStr">
        <is>
          <t>21.09 üçüncü tur: AOZ1284 FB bölücüsü (R39 üst, R40 alt, VFB 0,8V). %1'de 3,2k yok → R40 = 3,24k; çıkışı korumak için R39 10k → 10,2k. VOUT = 0,8×(1+10,2/3,24) = 3,3185V (eski 3,300V; +%0,56, AOZ1284 VFB toleransı ±%1,5 içinde). R46 ile aynı MPN.</t>
        </is>
      </c>
      <c r="S61" s="6" t="inlineStr">
        <is>
          <t>https://www.ozdisan.com/p/smt-smd-ve-cip-direncler-194/panasoniceurope-erj2rkf3241x-494659</t>
        </is>
      </c>
    </row>
    <row r="62">
      <c r="A62" s="2" t="inlineStr">
        <is>
          <t>R41</t>
        </is>
      </c>
      <c r="B62" s="2" t="n">
        <v>1</v>
      </c>
      <c r="C62" s="2" t="inlineStr">
        <is>
          <t>12k7</t>
        </is>
      </c>
      <c r="D62" s="2" t="inlineStr">
        <is>
          <t>0402</t>
        </is>
      </c>
      <c r="E62" s="2" t="inlineStr">
        <is>
          <t>TBD</t>
        </is>
      </c>
      <c r="F62" s="2" t="inlineStr">
        <is>
          <t>0402WGF1272TCE</t>
        </is>
      </c>
      <c r="G62" s="2" t="inlineStr">
        <is>
          <t>ROYALOHM</t>
        </is>
      </c>
      <c r="H62" s="2" t="inlineStr">
        <is>
          <t>RES 0402 12.7K 1% 1/16W</t>
        </is>
      </c>
      <c r="I62" s="2" t="n">
        <v>506317</v>
      </c>
      <c r="J62" s="2" t="n">
        <v>18380</v>
      </c>
      <c r="K62" s="2" t="n">
        <v>200</v>
      </c>
      <c r="L62" s="2" t="n">
        <v>200</v>
      </c>
      <c r="M62" s="2" t="n">
        <v>200</v>
      </c>
      <c r="N62" s="3" t="n">
        <v>0.02873</v>
      </c>
      <c r="O62" s="3" t="n">
        <v>5.75</v>
      </c>
      <c r="P62" s="5" t="inlineStr">
        <is>
          <t>Uygun</t>
        </is>
      </c>
      <c r="Q62" s="2" t="inlineStr">
        <is>
          <t>Yeni seçildi</t>
        </is>
      </c>
      <c r="R62" s="2" t="inlineStr"/>
      <c r="S62" s="6" t="inlineStr">
        <is>
          <t>https://www.ozdisan.com/p/smt-smd-ve-cip-direncler-194/royalohm-0402wgf1272tce-506317</t>
        </is>
      </c>
    </row>
    <row r="63">
      <c r="A63" s="2" t="inlineStr">
        <is>
          <t>R47</t>
        </is>
      </c>
      <c r="B63" s="2" t="n">
        <v>1</v>
      </c>
      <c r="C63" s="2" t="inlineStr">
        <is>
          <t>78k7</t>
        </is>
      </c>
      <c r="D63" s="2" t="inlineStr">
        <is>
          <t>0402</t>
        </is>
      </c>
      <c r="E63" s="2" t="inlineStr">
        <is>
          <t>TBD</t>
        </is>
      </c>
      <c r="F63" s="2" t="inlineStr">
        <is>
          <t>0402WGF7872TCE</t>
        </is>
      </c>
      <c r="G63" s="2" t="inlineStr">
        <is>
          <t>ROYALOHM</t>
        </is>
      </c>
      <c r="H63" s="2" t="inlineStr">
        <is>
          <t>RES 0402 78.7K 1% 1/16W</t>
        </is>
      </c>
      <c r="I63" s="2" t="n">
        <v>506387</v>
      </c>
      <c r="J63" s="2" t="n">
        <v>7070</v>
      </c>
      <c r="K63" s="2" t="n">
        <v>200</v>
      </c>
      <c r="L63" s="2" t="n">
        <v>200</v>
      </c>
      <c r="M63" s="2" t="n">
        <v>200</v>
      </c>
      <c r="N63" s="3" t="n">
        <v>0.02873</v>
      </c>
      <c r="O63" s="3" t="n">
        <v>5.75</v>
      </c>
      <c r="P63" s="5" t="inlineStr">
        <is>
          <t>Uygun</t>
        </is>
      </c>
      <c r="Q63" s="2" t="inlineStr">
        <is>
          <t>Yeni seçildi</t>
        </is>
      </c>
      <c r="R63" s="2" t="inlineStr"/>
      <c r="S63" s="6" t="inlineStr">
        <is>
          <t>https://www.ozdisan.com/p/smt-smd-ve-cip-direncler-194/royalohm-0402wgf7872tce-506387</t>
        </is>
      </c>
    </row>
    <row r="64">
      <c r="A64" s="2" t="inlineStr">
        <is>
          <t>R48</t>
        </is>
      </c>
      <c r="B64" s="2" t="n">
        <v>1</v>
      </c>
      <c r="C64" s="2" t="inlineStr">
        <is>
          <t>30k1</t>
        </is>
      </c>
      <c r="D64" s="2" t="inlineStr">
        <is>
          <t>0402</t>
        </is>
      </c>
      <c r="E64" s="2" t="inlineStr">
        <is>
          <t>TBD</t>
        </is>
      </c>
      <c r="F64" s="2" t="inlineStr">
        <is>
          <t>0402WGF3012TCE</t>
        </is>
      </c>
      <c r="G64" s="2" t="inlineStr">
        <is>
          <t>ROYALOHM</t>
        </is>
      </c>
      <c r="H64" s="2" t="inlineStr">
        <is>
          <t>RES 0402 30.1K 1% 1/16W</t>
        </is>
      </c>
      <c r="I64" s="2" t="n">
        <v>506349</v>
      </c>
      <c r="J64" s="2" t="n">
        <v>10680</v>
      </c>
      <c r="K64" s="2" t="n">
        <v>200</v>
      </c>
      <c r="L64" s="2" t="n">
        <v>200</v>
      </c>
      <c r="M64" s="2" t="n">
        <v>200</v>
      </c>
      <c r="N64" s="3" t="n">
        <v>0.02873</v>
      </c>
      <c r="O64" s="3" t="n">
        <v>5.75</v>
      </c>
      <c r="P64" s="5" t="inlineStr">
        <is>
          <t>Uygun</t>
        </is>
      </c>
      <c r="Q64" s="2" t="inlineStr">
        <is>
          <t>Yeni seçildi</t>
        </is>
      </c>
      <c r="R64" s="2" t="inlineStr"/>
      <c r="S64" s="6" t="inlineStr">
        <is>
          <t>https://www.ozdisan.com/p/smt-smd-ve-cip-direncler-194/royalohm-0402wgf3012tce-506349</t>
        </is>
      </c>
    </row>
    <row r="65">
      <c r="A65" s="2" t="inlineStr">
        <is>
          <t>R49</t>
        </is>
      </c>
      <c r="B65" s="2" t="n">
        <v>1</v>
      </c>
      <c r="C65" s="2" t="inlineStr">
        <is>
          <t>9k76</t>
        </is>
      </c>
      <c r="D65" s="2" t="inlineStr">
        <is>
          <t>0402</t>
        </is>
      </c>
      <c r="E65" s="2" t="inlineStr">
        <is>
          <t>TBD</t>
        </is>
      </c>
      <c r="F65" s="2" t="inlineStr">
        <is>
          <t>0402WGF9761TCE</t>
        </is>
      </c>
      <c r="G65" s="2" t="inlineStr">
        <is>
          <t>ROYALOHM</t>
        </is>
      </c>
      <c r="H65" s="2" t="inlineStr">
        <is>
          <t>RES 0402 9.76K 1% 1/16W</t>
        </is>
      </c>
      <c r="I65" s="2" t="n">
        <v>506310</v>
      </c>
      <c r="J65" s="2" t="n">
        <v>17170</v>
      </c>
      <c r="K65" s="2" t="n">
        <v>200</v>
      </c>
      <c r="L65" s="2" t="n">
        <v>200</v>
      </c>
      <c r="M65" s="2" t="n">
        <v>200</v>
      </c>
      <c r="N65" s="3" t="n">
        <v>0.02873</v>
      </c>
      <c r="O65" s="3" t="n">
        <v>5.75</v>
      </c>
      <c r="P65" s="5" t="inlineStr">
        <is>
          <t>Uygun</t>
        </is>
      </c>
      <c r="Q65" s="2" t="inlineStr">
        <is>
          <t>Yeni seçildi</t>
        </is>
      </c>
      <c r="R65" s="2" t="inlineStr"/>
      <c r="S65" s="6" t="inlineStr">
        <is>
          <t>https://www.ozdisan.com/p/smt-smd-ve-cip-direncler-194/royalohm-0402wgf9761tce-506310</t>
        </is>
      </c>
    </row>
    <row r="66">
      <c r="A66" s="2" t="inlineStr">
        <is>
          <t>R50</t>
        </is>
      </c>
      <c r="B66" s="2" t="n">
        <v>1</v>
      </c>
      <c r="C66" s="2" t="inlineStr">
        <is>
          <t>820R</t>
        </is>
      </c>
      <c r="D66" s="2" t="inlineStr">
        <is>
          <t>0402</t>
        </is>
      </c>
      <c r="E66" s="2" t="inlineStr">
        <is>
          <t>TBD</t>
        </is>
      </c>
      <c r="F66" s="2" t="inlineStr">
        <is>
          <t>RC0402JR-07820RL</t>
        </is>
      </c>
      <c r="G66" s="2" t="inlineStr">
        <is>
          <t>YAGEO</t>
        </is>
      </c>
      <c r="H66" s="2" t="inlineStr">
        <is>
          <t>RES 0402 820R 5% 1/16W</t>
        </is>
      </c>
      <c r="I66" s="2" t="n">
        <v>423409</v>
      </c>
      <c r="J66" s="2" t="n">
        <v>92000</v>
      </c>
      <c r="K66" s="2" t="n">
        <v>100</v>
      </c>
      <c r="L66" s="2" t="n">
        <v>100</v>
      </c>
      <c r="M66" s="2" t="n">
        <v>100</v>
      </c>
      <c r="N66" s="3" t="n">
        <v>0.06567000000000001</v>
      </c>
      <c r="O66" s="3" t="n">
        <v>6.57</v>
      </c>
      <c r="P66" s="5" t="inlineStr">
        <is>
          <t>Uygun</t>
        </is>
      </c>
      <c r="Q66" s="2" t="inlineStr">
        <is>
          <t>Yeni seçildi</t>
        </is>
      </c>
      <c r="R66" s="2" t="inlineStr">
        <is>
          <t>0402 820R yalnız %5 stokta.</t>
        </is>
      </c>
      <c r="S66" s="6" t="inlineStr">
        <is>
          <t>https://www.ozdisan.com/p/smt-smd-ve-cip-direncler-194/yageo-rc0402jr-07820rl-423409</t>
        </is>
      </c>
    </row>
    <row r="67">
      <c r="A67" s="2" t="inlineStr">
        <is>
          <t>R52</t>
        </is>
      </c>
      <c r="B67" s="2" t="n">
        <v>1</v>
      </c>
      <c r="C67" s="2" t="inlineStr">
        <is>
          <t>2k0</t>
        </is>
      </c>
      <c r="D67" s="2" t="inlineStr">
        <is>
          <t>0402</t>
        </is>
      </c>
      <c r="E67" s="2" t="inlineStr">
        <is>
          <t>TBD</t>
        </is>
      </c>
      <c r="F67" s="2" t="inlineStr">
        <is>
          <t>ERJ2RKF2001X</t>
        </is>
      </c>
      <c r="G67" s="2" t="inlineStr">
        <is>
          <t>PANASONIC</t>
        </is>
      </c>
      <c r="H67" s="2" t="inlineStr">
        <is>
          <t>RES 0402 2K 1% 1/10W</t>
        </is>
      </c>
      <c r="I67" s="2" t="n">
        <v>518487</v>
      </c>
      <c r="J67" s="2" t="n">
        <v>34590</v>
      </c>
      <c r="K67" s="2" t="n">
        <v>20</v>
      </c>
      <c r="L67" s="2" t="n">
        <v>20</v>
      </c>
      <c r="M67" s="2" t="n">
        <v>20</v>
      </c>
      <c r="N67" s="3" t="n">
        <v>0.3664</v>
      </c>
      <c r="O67" s="3" t="n">
        <v>7.33</v>
      </c>
      <c r="P67" s="5" t="inlineStr">
        <is>
          <t>Uygun</t>
        </is>
      </c>
      <c r="Q67" s="2" t="inlineStr">
        <is>
          <t>Yeni seçildi</t>
        </is>
      </c>
      <c r="R67" s="2" t="inlineStr"/>
      <c r="S67" s="6" t="inlineStr">
        <is>
          <t>https://www.ozdisan.com/p/smt-smd-ve-cip-direncler-194/panasoniceurope-erj2rkf2001x-518487</t>
        </is>
      </c>
    </row>
    <row r="68">
      <c r="A68" s="2" t="inlineStr">
        <is>
          <t>R55</t>
        </is>
      </c>
      <c r="B68" s="2" t="n">
        <v>1</v>
      </c>
      <c r="C68" s="2" t="inlineStr">
        <is>
          <t>232k</t>
        </is>
      </c>
      <c r="D68" s="2" t="inlineStr">
        <is>
          <t>0402</t>
        </is>
      </c>
      <c r="E68" s="2" t="inlineStr">
        <is>
          <t>TBD</t>
        </is>
      </c>
      <c r="F68" s="2" t="inlineStr">
        <is>
          <t>0402WGF2323TCE</t>
        </is>
      </c>
      <c r="G68" s="2" t="inlineStr">
        <is>
          <t>ROYALOHM</t>
        </is>
      </c>
      <c r="H68" s="2" t="inlineStr">
        <is>
          <t>RES 0402 232K 1% 1/16W</t>
        </is>
      </c>
      <c r="I68" s="2" t="n">
        <v>506426</v>
      </c>
      <c r="J68" s="2" t="n">
        <v>6600</v>
      </c>
      <c r="K68" s="2" t="n">
        <v>200</v>
      </c>
      <c r="L68" s="2" t="n">
        <v>200</v>
      </c>
      <c r="M68" s="2" t="n">
        <v>200</v>
      </c>
      <c r="N68" s="3" t="n">
        <v>0.02873</v>
      </c>
      <c r="O68" s="3" t="n">
        <v>5.75</v>
      </c>
      <c r="P68" s="5" t="inlineStr">
        <is>
          <t>Uygun</t>
        </is>
      </c>
      <c r="Q68" s="2" t="inlineStr">
        <is>
          <t>Yeni seçildi</t>
        </is>
      </c>
      <c r="R68" s="2" t="inlineStr"/>
      <c r="S68" s="6" t="inlineStr">
        <is>
          <t>https://www.ozdisan.com/p/smt-smd-ve-cip-direncler-194/royalohm-0402wgf2323tce-506426</t>
        </is>
      </c>
    </row>
    <row r="69">
      <c r="A69" s="2" t="inlineStr">
        <is>
          <t>R11,RShunt1</t>
        </is>
      </c>
      <c r="B69" s="2" t="n">
        <v>2</v>
      </c>
      <c r="C69" s="2" t="inlineStr">
        <is>
          <t>5m0</t>
        </is>
      </c>
      <c r="D69" s="2" t="inlineStr">
        <is>
          <t>2512</t>
        </is>
      </c>
      <c r="E69" s="2" t="inlineStr">
        <is>
          <t>TBD</t>
        </is>
      </c>
      <c r="F69" s="2" t="inlineStr">
        <is>
          <t>BVT-I-R005-1.0</t>
        </is>
      </c>
      <c r="G69" s="2" t="inlineStr">
        <is>
          <t>ISABELLENHÜTTE</t>
        </is>
      </c>
      <c r="H69" s="2" t="inlineStr">
        <is>
          <t>RES.SHUNT 2512 5mΩ 1% 2.5W Isaohm AEC-Q200</t>
        </is>
      </c>
      <c r="I69" s="2" t="n">
        <v>536256</v>
      </c>
      <c r="J69" s="2" t="n">
        <v>774</v>
      </c>
      <c r="K69" s="2" t="n">
        <v>1</v>
      </c>
      <c r="L69" s="2" t="n">
        <v>1</v>
      </c>
      <c r="M69" s="2" t="n">
        <v>2</v>
      </c>
      <c r="N69" s="3" t="n">
        <v>56.1615</v>
      </c>
      <c r="O69" s="3" t="n">
        <v>112.32</v>
      </c>
      <c r="P69" s="5" t="inlineStr">
        <is>
          <t>Uygun</t>
        </is>
      </c>
      <c r="Q69" s="2" t="inlineStr">
        <is>
          <t>Yeni seçildi</t>
        </is>
      </c>
      <c r="R69" s="2" t="inlineStr">
        <is>
          <t>21.09 dördüncü tur: 'Hassas ve Şönt Dirençler' kategorisi indekslendi; stok 774 (+25 yolda) doğrulandı. Datasheet (BVT 2512): 6,35×3,05 mm, 5 mΩ ±%1, TCR 0±50 ppm/K, 2,5 W @70°C / 1,5 W @100°C terminal; 5 A'de kayıp 0,125 W. Footprint notu: KiCad R_2512_6332Metric mekanik olarak uyar; üretici ped önerisi farklı (toplam 7 mm, genişlik 3,4 mm, iç aralık 1,8 mm), ısı ve Kelvin ölçüm noktası için özel footprint önerilir. Alternatif: VMS-R005-1.0-U (Isabellenhütte, 2512, 3 W, TCR ±20 ppm/K, 1473 stok, 54,08 TL) — ped düzeni VMS datasheet'ine göre kontrol edilmeli.</t>
        </is>
      </c>
      <c r="S69" s="6" t="inlineStr">
        <is>
          <t>https://www.ozdisan.com/p/hassas-ve-sont-direncler-195/isabellenhutte-bvt-i-r005-1-0-536256</t>
        </is>
      </c>
    </row>
    <row r="71">
      <c r="A71" s="11" t="inlineStr">
        <is>
          <t>TOPLAM (fiyatı bulunan satırlar)</t>
        </is>
      </c>
      <c r="O71" s="12">
        <f>SUM(O2:O69)</f>
        <v/>
      </c>
    </row>
  </sheetData>
  <autoFilter ref="A1:S69"/>
  <hyperlinks>
    <hyperlink xmlns:r="http://schemas.openxmlformats.org/officeDocument/2006/relationships" ref="S4" r:id="rId1"/>
    <hyperlink xmlns:r="http://schemas.openxmlformats.org/officeDocument/2006/relationships" ref="S5" r:id="rId2"/>
    <hyperlink xmlns:r="http://schemas.openxmlformats.org/officeDocument/2006/relationships" ref="S6" r:id="rId3"/>
    <hyperlink xmlns:r="http://schemas.openxmlformats.org/officeDocument/2006/relationships" ref="S7" r:id="rId4"/>
    <hyperlink xmlns:r="http://schemas.openxmlformats.org/officeDocument/2006/relationships" ref="S9" r:id="rId5"/>
    <hyperlink xmlns:r="http://schemas.openxmlformats.org/officeDocument/2006/relationships" ref="S11" r:id="rId6"/>
    <hyperlink xmlns:r="http://schemas.openxmlformats.org/officeDocument/2006/relationships" ref="S12" r:id="rId7"/>
    <hyperlink xmlns:r="http://schemas.openxmlformats.org/officeDocument/2006/relationships" ref="S13" r:id="rId8"/>
    <hyperlink xmlns:r="http://schemas.openxmlformats.org/officeDocument/2006/relationships" ref="S14" r:id="rId9"/>
    <hyperlink xmlns:r="http://schemas.openxmlformats.org/officeDocument/2006/relationships" ref="S15" r:id="rId10"/>
    <hyperlink xmlns:r="http://schemas.openxmlformats.org/officeDocument/2006/relationships" ref="S16" r:id="rId11"/>
    <hyperlink xmlns:r="http://schemas.openxmlformats.org/officeDocument/2006/relationships" ref="S17" r:id="rId12"/>
    <hyperlink xmlns:r="http://schemas.openxmlformats.org/officeDocument/2006/relationships" ref="S18" r:id="rId13"/>
    <hyperlink xmlns:r="http://schemas.openxmlformats.org/officeDocument/2006/relationships" ref="S19" r:id="rId14"/>
    <hyperlink xmlns:r="http://schemas.openxmlformats.org/officeDocument/2006/relationships" ref="S21" r:id="rId15"/>
    <hyperlink xmlns:r="http://schemas.openxmlformats.org/officeDocument/2006/relationships" ref="S22" r:id="rId16"/>
    <hyperlink xmlns:r="http://schemas.openxmlformats.org/officeDocument/2006/relationships" ref="S23" r:id="rId17"/>
    <hyperlink xmlns:r="http://schemas.openxmlformats.org/officeDocument/2006/relationships" ref="S24" r:id="rId18"/>
    <hyperlink xmlns:r="http://schemas.openxmlformats.org/officeDocument/2006/relationships" ref="S25" r:id="rId19"/>
    <hyperlink xmlns:r="http://schemas.openxmlformats.org/officeDocument/2006/relationships" ref="S26" r:id="rId20"/>
    <hyperlink xmlns:r="http://schemas.openxmlformats.org/officeDocument/2006/relationships" ref="S27" r:id="rId21"/>
    <hyperlink xmlns:r="http://schemas.openxmlformats.org/officeDocument/2006/relationships" ref="S28" r:id="rId22"/>
    <hyperlink xmlns:r="http://schemas.openxmlformats.org/officeDocument/2006/relationships" ref="S29" r:id="rId23"/>
    <hyperlink xmlns:r="http://schemas.openxmlformats.org/officeDocument/2006/relationships" ref="S30" r:id="rId24"/>
    <hyperlink xmlns:r="http://schemas.openxmlformats.org/officeDocument/2006/relationships" ref="S33" r:id="rId25"/>
    <hyperlink xmlns:r="http://schemas.openxmlformats.org/officeDocument/2006/relationships" ref="S35" r:id="rId26"/>
    <hyperlink xmlns:r="http://schemas.openxmlformats.org/officeDocument/2006/relationships" ref="S36" r:id="rId27"/>
    <hyperlink xmlns:r="http://schemas.openxmlformats.org/officeDocument/2006/relationships" ref="S37" r:id="rId28"/>
    <hyperlink xmlns:r="http://schemas.openxmlformats.org/officeDocument/2006/relationships" ref="S38" r:id="rId29"/>
    <hyperlink xmlns:r="http://schemas.openxmlformats.org/officeDocument/2006/relationships" ref="S39" r:id="rId30"/>
    <hyperlink xmlns:r="http://schemas.openxmlformats.org/officeDocument/2006/relationships" ref="S40" r:id="rId31"/>
    <hyperlink xmlns:r="http://schemas.openxmlformats.org/officeDocument/2006/relationships" ref="S41" r:id="rId32"/>
    <hyperlink xmlns:r="http://schemas.openxmlformats.org/officeDocument/2006/relationships" ref="S42" r:id="rId33"/>
    <hyperlink xmlns:r="http://schemas.openxmlformats.org/officeDocument/2006/relationships" ref="S44" r:id="rId34"/>
    <hyperlink xmlns:r="http://schemas.openxmlformats.org/officeDocument/2006/relationships" ref="S45" r:id="rId35"/>
    <hyperlink xmlns:r="http://schemas.openxmlformats.org/officeDocument/2006/relationships" ref="S46" r:id="rId36"/>
    <hyperlink xmlns:r="http://schemas.openxmlformats.org/officeDocument/2006/relationships" ref="S47" r:id="rId37"/>
    <hyperlink xmlns:r="http://schemas.openxmlformats.org/officeDocument/2006/relationships" ref="S48" r:id="rId38"/>
    <hyperlink xmlns:r="http://schemas.openxmlformats.org/officeDocument/2006/relationships" ref="S49" r:id="rId39"/>
    <hyperlink xmlns:r="http://schemas.openxmlformats.org/officeDocument/2006/relationships" ref="S50" r:id="rId40"/>
    <hyperlink xmlns:r="http://schemas.openxmlformats.org/officeDocument/2006/relationships" ref="S51" r:id="rId41"/>
    <hyperlink xmlns:r="http://schemas.openxmlformats.org/officeDocument/2006/relationships" ref="S52" r:id="rId42"/>
    <hyperlink xmlns:r="http://schemas.openxmlformats.org/officeDocument/2006/relationships" ref="S53" r:id="rId43"/>
    <hyperlink xmlns:r="http://schemas.openxmlformats.org/officeDocument/2006/relationships" ref="S54" r:id="rId44"/>
    <hyperlink xmlns:r="http://schemas.openxmlformats.org/officeDocument/2006/relationships" ref="S55" r:id="rId45"/>
    <hyperlink xmlns:r="http://schemas.openxmlformats.org/officeDocument/2006/relationships" ref="S56" r:id="rId46"/>
    <hyperlink xmlns:r="http://schemas.openxmlformats.org/officeDocument/2006/relationships" ref="S57" r:id="rId47"/>
    <hyperlink xmlns:r="http://schemas.openxmlformats.org/officeDocument/2006/relationships" ref="S58" r:id="rId48"/>
    <hyperlink xmlns:r="http://schemas.openxmlformats.org/officeDocument/2006/relationships" ref="S59" r:id="rId49"/>
    <hyperlink xmlns:r="http://schemas.openxmlformats.org/officeDocument/2006/relationships" ref="S60" r:id="rId50"/>
    <hyperlink xmlns:r="http://schemas.openxmlformats.org/officeDocument/2006/relationships" ref="S61" r:id="rId51"/>
    <hyperlink xmlns:r="http://schemas.openxmlformats.org/officeDocument/2006/relationships" ref="S62" r:id="rId52"/>
    <hyperlink xmlns:r="http://schemas.openxmlformats.org/officeDocument/2006/relationships" ref="S63" r:id="rId53"/>
    <hyperlink xmlns:r="http://schemas.openxmlformats.org/officeDocument/2006/relationships" ref="S64" r:id="rId54"/>
    <hyperlink xmlns:r="http://schemas.openxmlformats.org/officeDocument/2006/relationships" ref="S65" r:id="rId55"/>
    <hyperlink xmlns:r="http://schemas.openxmlformats.org/officeDocument/2006/relationships" ref="S66" r:id="rId56"/>
    <hyperlink xmlns:r="http://schemas.openxmlformats.org/officeDocument/2006/relationships" ref="S67" r:id="rId57"/>
    <hyperlink xmlns:r="http://schemas.openxmlformats.org/officeDocument/2006/relationships" ref="S68" r:id="rId58"/>
    <hyperlink xmlns:r="http://schemas.openxmlformats.org/officeDocument/2006/relationships" ref="S69" r:id="rId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90" customWidth="1" min="4" max="4"/>
  </cols>
  <sheetData>
    <row r="1">
      <c r="A1" s="13" t="inlineStr">
        <is>
          <t>Durum</t>
        </is>
      </c>
      <c r="B1" s="13" t="inlineStr">
        <is>
          <t>Satır</t>
        </is>
      </c>
      <c r="C1" s="13" t="inlineStr">
        <is>
          <t>Parça adedi</t>
        </is>
      </c>
      <c r="D1" s="13" t="inlineStr">
        <is>
          <t>Anlamı</t>
        </is>
      </c>
    </row>
    <row r="2">
      <c r="A2" s="14" t="inlineStr">
        <is>
          <t>Uygun</t>
        </is>
      </c>
      <c r="B2">
        <f>COUNTIF(BOM_Ozdisan!P:P,A2)</f>
        <v/>
      </c>
      <c r="C2">
        <f>SUMIF(BOM_Ozdisan!P:P,A2,BOM_Ozdisan!B:B)</f>
        <v/>
      </c>
      <c r="D2" t="inlineStr">
        <is>
          <t>Özdisan stoğunda, tasarım şartlarını karşılıyor</t>
        </is>
      </c>
    </row>
    <row r="3">
      <c r="A3" s="15" t="inlineStr">
        <is>
          <t>Muadil</t>
        </is>
      </c>
      <c r="B3">
        <f>COUNTIF(BOM_Ozdisan!P:P,A3)</f>
        <v/>
      </c>
      <c r="C3">
        <f>SUMIF(BOM_Ozdisan!P:P,A3,BOM_Ozdisan!B:B)</f>
        <v/>
      </c>
      <c r="D3" t="inlineStr">
        <is>
          <t>Tasarım MPN'i yok; aynı kılıf/pin dizilişli muadil seçildi</t>
        </is>
      </c>
    </row>
    <row r="4">
      <c r="A4" s="16" t="inlineStr">
        <is>
          <t>Uyarı</t>
        </is>
      </c>
      <c r="B4">
        <f>COUNTIF(BOM_Ozdisan!P:P,A4)</f>
        <v/>
      </c>
      <c r="C4">
        <f>SUMIF(BOM_Ozdisan!P:P,A4,BOM_Ozdisan!B:B)</f>
        <v/>
      </c>
      <c r="D4" t="inlineStr">
        <is>
          <t>Stokta ama bir şartı tam karşılamıyor (gerilim, dielektrik, tolerans, akım) — Not sütununa bakın</t>
        </is>
      </c>
    </row>
    <row r="5">
      <c r="A5" s="17" t="inlineStr">
        <is>
          <t>Stokta yok</t>
        </is>
      </c>
      <c r="B5">
        <f>COUNTIF(BOM_Ozdisan!P:P,A5)</f>
        <v/>
      </c>
      <c r="C5">
        <f>SUMIF(BOM_Ozdisan!P:P,A5,BOM_Ozdisan!B:B)</f>
        <v/>
      </c>
      <c r="D5" t="inlineStr">
        <is>
          <t>Özdisan'da stokta uygun parça yok</t>
        </is>
      </c>
    </row>
    <row r="6">
      <c r="A6" s="18" t="inlineStr">
        <is>
          <t>İndekste yok</t>
        </is>
      </c>
      <c r="B6">
        <f>COUNTIF(BOM_Ozdisan!P:P,A6)</f>
        <v/>
      </c>
      <c r="C6">
        <f>SUMIF(BOM_Ozdisan!P:P,A6,BOM_Ozdisan!B:B)</f>
        <v/>
      </c>
      <c r="D6" t="inlineStr">
        <is>
          <t>Kategorisi Özdisan indeksinde yok; stok doğrulanamadı</t>
        </is>
      </c>
    </row>
    <row r="7">
      <c r="A7" s="19" t="inlineStr">
        <is>
          <t>Satın alınmaz</t>
        </is>
      </c>
      <c r="B7">
        <f>COUNTIF(BOM_Ozdisan!P:P,A7)</f>
        <v/>
      </c>
      <c r="C7">
        <f>SUMIF(BOM_Ozdisan!P:P,A7,BOM_Ozdisan!B:B)</f>
        <v/>
      </c>
      <c r="D7" t="inlineStr">
        <is>
          <t>Satın alınmaz (test pedi / DNP)</t>
        </is>
      </c>
    </row>
    <row r="9">
      <c r="A9" t="inlineStr">
        <is>
          <t>Fiyatlı satırların toplamı (TRY)</t>
        </is>
      </c>
      <c r="B9" s="20">
        <f>SUM(BOM_Ozdisan!O2:O69)</f>
        <v/>
      </c>
    </row>
    <row r="11">
      <c r="A11" t="inlineStr">
        <is>
          <t>Kaynak: Özdisan MCP yerel indeksi, son güncelleme 2026-09-21. Fiyatlar TRY, 1 kart için; sipariş adedi MOQ ve sipariş katına yuvarlandı.</t>
        </is>
      </c>
    </row>
    <row r="12">
      <c r="A12" t="inlineStr">
        <is>
          <t>Tasarım değiştirilmedi. Şemadaki MPN alanları olduğu gibi duruyor; bu tablo yalnız öneridir.</t>
        </is>
      </c>
    </row>
    <row r="13">
      <c r="A13" t="inlineStr">
        <is>
          <t>'Önceden seçilmiş': şema notları veya design_decisions raporlarında Özdisan stoğuna göre seçildiği belirtilen parçalar.</t>
        </is>
      </c>
    </row>
    <row r="14">
      <c r="A14" t="inlineStr">
        <is>
          <t>22.09 TFT032B018 revizyonu: NHD-2.4 + TPS61023 boost + CAT4104 → TFT032B018 (3,2" IPS, ST7789V2) + KLS 30p FPC + Q7/R60 PWM backlight; U7, U8, L2, C20, C21, C22, R44, R45, R46 kaldırıldı.</t>
        </is>
      </c>
    </row>
    <row r="15">
      <c r="A15" t="inlineStr">
        <is>
          <t>21.09 RTC revizyonu: RV-3028-C7 + CR2032 → BQ32000DR + 1,5F süper kapasitör (C33) + kristal Y1; BT1, R22, R23, C10 kaldırıldı, C9 1u0 oldu.</t>
        </is>
      </c>
    </row>
    <row r="16">
      <c r="A16" t="inlineStr">
        <is>
          <t>21.09 üçüncü tur: U2/U4/U7/J7 muadil kontrolü, C3/C5/C8/C15/C19/C20/C21/C25/C27/C28/C29/C31 ve R39/R40/R44/R46/R59/R11/RShunt1 yeniden seçildi. Footprint veya değer değişikliği gerektiren satırlar Not sütununda belirtildi; şema değiştirilmedi.</t>
        </is>
      </c>
    </row>
    <row r="17">
      <c r="A17" t="inlineStr">
        <is>
          <t>21.09 ikinci kontrol: pil tutucu, FFC/FPC, PCB klemens, LED ve Wi-Fi modül kategorileri indekse eklendi. Hâlâ indekslenmemiş: USB konnektörler (J7) ve binding post (J5, J6); bu satırlar Özdisan'a ayrıca sorulmalı.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2026-09-21T21:27:40Z</dcterms:created>
  <dcterms:modified xsi:type="dcterms:W3CDTF">2026-09-21T21:27:40Z</dcterms:modified>
</cp:coreProperties>
</file>